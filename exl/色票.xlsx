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GitHub\BODA\exl\"/>
    </mc:Choice>
  </mc:AlternateContent>
  <xr:revisionPtr revIDLastSave="0" documentId="13_ncr:1_{77BDDFC9-0B2E-4925-9ED4-824F5B40A3E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色票" sheetId="1" r:id="rId1"/>
    <sheet name="對應" sheetId="2" r:id="rId2"/>
    <sheet name="規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0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<sst xmlns="http://schemas.openxmlformats.org/spreadsheetml/2006/main" count="151" uniqueCount="83">
  <si>
    <t>Component</t>
  </si>
  <si>
    <t>填入色票的欄位</t>
  </si>
  <si>
    <t>Position</t>
  </si>
  <si>
    <t>Detail</t>
  </si>
  <si>
    <t>Color</t>
  </si>
  <si>
    <t>對照邏輯</t>
  </si>
  <si>
    <t>填入的對應色碼</t>
  </si>
  <si>
    <t>D2、9、10、12</t>
  </si>
  <si>
    <t>Page Style</t>
  </si>
  <si>
    <t>背景色碼</t>
  </si>
  <si>
    <t xml:space="preserve">D8、11、13、28 </t>
  </si>
  <si>
    <t>Page Background Color</t>
  </si>
  <si>
    <t>促標字色</t>
  </si>
  <si>
    <t>(現在 GD 固定會提供的顏色) 頁面底色</t>
  </si>
  <si>
    <t>D27</t>
  </si>
  <si>
    <t>促標底色</t>
  </si>
  <si>
    <t>#FFFFFF</t>
  </si>
  <si>
    <t>D32</t>
  </si>
  <si>
    <t>警語顏色</t>
  </si>
  <si>
    <t>D33</t>
  </si>
  <si>
    <t>#EE4E68</t>
  </si>
  <si>
    <t>Header Background Color</t>
  </si>
  <si>
    <t>頁面標題底色跟頁面底色相同</t>
  </si>
  <si>
    <t>Page Title Text Color</t>
  </si>
  <si>
    <t>頁面標題文字顏色</t>
  </si>
  <si>
    <t>Unselected Sticky Tab Text Color</t>
  </si>
  <si>
    <t>Page Header Icons Color Before Page Scrolled Up</t>
  </si>
  <si>
    <t>標題 Icon 點選前的顏色</t>
  </si>
  <si>
    <t>Page Header Icons Color After Page Scrolled Up</t>
  </si>
  <si>
    <t>標題 Icon 點選後的顏色</t>
  </si>
  <si>
    <t>Anchor Tab Bar</t>
  </si>
  <si>
    <t>Component Background</t>
  </si>
  <si>
    <t>錨點背景色</t>
  </si>
  <si>
    <t>Selected Sticky Tab Bg Color</t>
  </si>
  <si>
    <t>(現在 GD 固定會提供的顏色)</t>
  </si>
  <si>
    <t>#d12f60</t>
  </si>
  <si>
    <t>Selected Sticky Tab Text Color</t>
  </si>
  <si>
    <t>Unselected Sticky Tab Bg Color</t>
  </si>
  <si>
    <t>Show More and Dropdown &gt; More Background Color</t>
  </si>
  <si>
    <t>Show More and Dropdown &gt; More Icon and Text Color</t>
  </si>
  <si>
    <t>Gap</t>
  </si>
  <si>
    <t>Gap 的顏色跟頁面底色一樣</t>
  </si>
  <si>
    <t>Voucher Grid</t>
  </si>
  <si>
    <t>Able to Claim All Vouchers &gt; Claim All Button Borderline Color</t>
  </si>
  <si>
    <t>一鑑領取 Voucher 按鈕外框顏色</t>
  </si>
  <si>
    <t>Able to Claim All Voucher &gt; Claim All Button Background Color</t>
  </si>
  <si>
    <t>一鑑領取 Voucher 按鈕背景顏色</t>
  </si>
  <si>
    <t>Able to Claim All Voucher &gt; Claim All Button Text Color</t>
  </si>
  <si>
    <t>一鑑領取 Voucher 按鈕文字顏色</t>
  </si>
  <si>
    <t>Product Collection</t>
  </si>
  <si>
    <t>Multi Tabs &gt; Selected Tab Background Color</t>
  </si>
  <si>
    <t>Product Collection Tab 選擇後的背景顏色</t>
  </si>
  <si>
    <t>Multi Tabs &gt; Selected Tab Text Color</t>
  </si>
  <si>
    <t>Product Collection Tab 選擇後的文字顏色</t>
  </si>
  <si>
    <t>Multi Tabs &gt; Unselected Tab Background Color</t>
  </si>
  <si>
    <t>Product Collection Tab 選擇前的背景顏色</t>
  </si>
  <si>
    <t>Multi Tabs &gt; Unselected Tab Text Color</t>
  </si>
  <si>
    <t>Product Collection Tab 選擇前的文字顏色</t>
  </si>
  <si>
    <t>Footer/Header See All Color</t>
  </si>
  <si>
    <t>Product Collection 看全部的顏色</t>
  </si>
  <si>
    <t>CTA Button</t>
  </si>
  <si>
    <t>Button Text Color</t>
  </si>
  <si>
    <t>系統 CTA 文字顏色</t>
  </si>
  <si>
    <t>Background Color</t>
  </si>
  <si>
    <t>系統 CTA 背景顏色</t>
  </si>
  <si>
    <t>Border Color</t>
  </si>
  <si>
    <t>系統 CTA 邊框顏色</t>
  </si>
  <si>
    <t>時間軸</t>
  </si>
  <si>
    <t>Text Color (時間)</t>
  </si>
  <si>
    <t>9D1500</t>
  </si>
  <si>
    <t>Text Color (提醒我)</t>
  </si>
  <si>
    <t>EE4E68</t>
  </si>
  <si>
    <t>Header</t>
  </si>
  <si>
    <t>Header Text Color</t>
  </si>
  <si>
    <t>系統標的文字顏色</t>
  </si>
  <si>
    <t>Display Trapezoidal/Rectangle Bg under Text &gt; Text Background Color</t>
  </si>
  <si>
    <t>系統標的背景顏色</t>
  </si>
  <si>
    <t>Display See All &gt; See All Color</t>
  </si>
  <si>
    <t>系統標 "看更多" 的文字顏色</t>
  </si>
  <si>
    <t>Section: MSBN_A-1-1
Section: MSBN_A-1-2
Section: MSBN_A-2-1
Section: MSBN_A-2-2
Section: MSBN_A-3-1</t>
  </si>
  <si>
    <t>Text Color (**活動價$000,000**)</t>
  </si>
  <si>
    <t>Text Color (&lt;s&gt;$000,000&lt;/s&gt;)</t>
  </si>
  <si>
    <r>
      <rPr>
        <sz val="10"/>
        <color theme="1"/>
        <rFont val="微軟正黑體"/>
        <family val="2"/>
        <charset val="136"/>
      </rPr>
      <t>其他</t>
    </r>
    <r>
      <rPr>
        <sz val="10"/>
        <color theme="1"/>
        <rFont val="Arial"/>
        <family val="2"/>
        <scheme val="minor"/>
      </rPr>
      <t>D</t>
    </r>
    <r>
      <rPr>
        <sz val="10"/>
        <color theme="1"/>
        <rFont val="微軟正黑體"/>
        <family val="2"/>
        <charset val="136"/>
      </rPr>
      <t>欄保留本來的公式，依照對應頁籤的規則後套入色號，匯出</t>
    </r>
    <r>
      <rPr>
        <sz val="10"/>
        <color theme="1"/>
        <rFont val="Arial"/>
        <family val="2"/>
        <scheme val="minor"/>
      </rPr>
      <t>CSV</t>
    </r>
    <r>
      <rPr>
        <sz val="10"/>
        <color theme="1"/>
        <rFont val="微軟正黑體"/>
        <family val="2"/>
        <charset val="136"/>
      </rPr>
      <t>，</t>
    </r>
    <r>
      <rPr>
        <sz val="10"/>
        <color theme="1"/>
        <rFont val="Arial"/>
        <family val="2"/>
        <scheme val="minor"/>
      </rPr>
      <t>CSV</t>
    </r>
    <r>
      <rPr>
        <sz val="10"/>
        <color theme="1"/>
        <rFont val="微軟正黑體"/>
        <family val="2"/>
        <charset val="136"/>
      </rPr>
      <t>的檔名，就只要叫"色票"就好，裡面的頁籤，也是叫"色票"就好，頁籤只要呈現色票頁籤即可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</si>
</sst>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9"/>
      <color theme="1"/>
      <name val="Roboto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0" borderId="0" xfId="0" applyFont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0" fillId="0" borderId="0" xfId="0"/>
    <xf numFmtId="0" fontId="1" fillId="4" borderId="0" xfId="0" applyFont="1" applyFill="1" applyAlignment="1">
      <alignment vertical="center"/>
    </xf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4"/>
  <sheetViews>
    <sheetView workbookViewId="0">
      <pane ySplit="1" topLeftCell="A2" activePane="bottomLeft" state="frozen"/>
      <selection pane="bottomLeft" activeCell="D12" activeCellId="3" sqref="D3 D9 D10 D12"/>
    </sheetView>
  </sheetViews>
  <sheetFormatPr defaultColWidth="12.5703125" defaultRowHeight="15.75" customHeight="1"/>
  <cols>
    <col min="1" max="1" width="18.85546875" customWidth="1"/>
    <col min="2" max="2" width="49" customWidth="1"/>
    <col min="3" max="3" width="28.42578125" customWidth="1"/>
    <col min="4" max="4" width="11.5703125" customWidth="1"/>
    <col min="5" max="5" width="39.140625" customWidth="1"/>
  </cols>
  <sheetData>
    <row r="1" spans="1:26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4" t="s">
        <v>8</v>
      </c>
      <c r="B2" s="4" t="s">
        <v>11</v>
      </c>
      <c r="C2" s="4" t="s">
        <v>13</v>
      </c>
      <c r="D2" s="4" t="s">
        <v>16</v>
      </c>
      <c r="E2" s="1" t="s">
        <v>11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8</v>
      </c>
      <c r="B3" s="1" t="s">
        <v>21</v>
      </c>
      <c r="C3" s="1" t="s">
        <v>22</v>
      </c>
      <c r="D3" s="1" t="str">
        <f t="shared" ref="D3:D7" si="0">VLOOKUP(E3,B:D,3,0)</f>
        <v>#FFFFFF</v>
      </c>
      <c r="E3" s="1" t="s">
        <v>11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8</v>
      </c>
      <c r="B4" s="1" t="s">
        <v>23</v>
      </c>
      <c r="C4" s="1" t="s">
        <v>24</v>
      </c>
      <c r="D4" s="1" t="str">
        <f t="shared" si="0"/>
        <v>#d12f60</v>
      </c>
      <c r="E4" s="1" t="s">
        <v>25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8</v>
      </c>
      <c r="B5" s="1" t="s">
        <v>26</v>
      </c>
      <c r="C5" s="1" t="s">
        <v>27</v>
      </c>
      <c r="D5" s="1" t="str">
        <f t="shared" si="0"/>
        <v>#d12f60</v>
      </c>
      <c r="E5" s="1" t="s">
        <v>25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8</v>
      </c>
      <c r="B6" s="1" t="s">
        <v>28</v>
      </c>
      <c r="C6" s="1" t="s">
        <v>29</v>
      </c>
      <c r="D6" s="1" t="str">
        <f t="shared" si="0"/>
        <v>#d12f60</v>
      </c>
      <c r="E6" s="1" t="s">
        <v>25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30</v>
      </c>
      <c r="B7" s="1" t="s">
        <v>31</v>
      </c>
      <c r="C7" s="3" t="s">
        <v>32</v>
      </c>
      <c r="D7" s="1" t="str">
        <f t="shared" si="0"/>
        <v>#FFFFFF</v>
      </c>
      <c r="E7" s="1" t="s">
        <v>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 t="s">
        <v>30</v>
      </c>
      <c r="B8" s="4" t="s">
        <v>33</v>
      </c>
      <c r="C8" s="7" t="s">
        <v>34</v>
      </c>
      <c r="D8" s="4" t="s">
        <v>35</v>
      </c>
      <c r="E8" s="1" t="s">
        <v>33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 t="s">
        <v>30</v>
      </c>
      <c r="B9" s="4" t="s">
        <v>36</v>
      </c>
      <c r="C9" s="8"/>
      <c r="D9" s="4" t="s">
        <v>16</v>
      </c>
      <c r="E9" s="1" t="s">
        <v>36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 t="s">
        <v>30</v>
      </c>
      <c r="B10" s="4" t="s">
        <v>37</v>
      </c>
      <c r="C10" s="8"/>
      <c r="D10" s="4" t="s">
        <v>16</v>
      </c>
      <c r="E10" s="1" t="s">
        <v>37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 t="s">
        <v>30</v>
      </c>
      <c r="B11" s="4" t="s">
        <v>25</v>
      </c>
      <c r="C11" s="8"/>
      <c r="D11" s="4" t="s">
        <v>35</v>
      </c>
      <c r="E11" s="1" t="s">
        <v>25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 t="s">
        <v>30</v>
      </c>
      <c r="B12" s="4" t="s">
        <v>38</v>
      </c>
      <c r="C12" s="8"/>
      <c r="D12" s="4" t="s">
        <v>16</v>
      </c>
      <c r="E12" s="1" t="s">
        <v>38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 t="s">
        <v>30</v>
      </c>
      <c r="B13" s="4" t="s">
        <v>39</v>
      </c>
      <c r="C13" s="8"/>
      <c r="D13" s="4" t="s">
        <v>35</v>
      </c>
      <c r="E13" s="1" t="s">
        <v>39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40</v>
      </c>
      <c r="B14" s="1" t="s">
        <v>4</v>
      </c>
      <c r="C14" s="1" t="s">
        <v>41</v>
      </c>
      <c r="D14" s="1" t="str">
        <f t="shared" ref="D14:D26" si="1">VLOOKUP(E14,B:D,3,0)</f>
        <v>#FFFFFF</v>
      </c>
      <c r="E14" s="1" t="s">
        <v>11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42</v>
      </c>
      <c r="B15" s="1" t="s">
        <v>43</v>
      </c>
      <c r="C15" s="1" t="s">
        <v>44</v>
      </c>
      <c r="D15" s="1" t="str">
        <f t="shared" si="1"/>
        <v>#FFFFFF</v>
      </c>
      <c r="E15" s="1" t="s">
        <v>37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42</v>
      </c>
      <c r="B16" s="1" t="s">
        <v>45</v>
      </c>
      <c r="C16" s="1" t="s">
        <v>46</v>
      </c>
      <c r="D16" s="1" t="str">
        <f t="shared" si="1"/>
        <v>#d12f60</v>
      </c>
      <c r="E16" s="1" t="s">
        <v>33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42</v>
      </c>
      <c r="B17" s="1" t="s">
        <v>47</v>
      </c>
      <c r="C17" s="1" t="s">
        <v>48</v>
      </c>
      <c r="D17" s="1" t="str">
        <f t="shared" si="1"/>
        <v>#d12f60</v>
      </c>
      <c r="E17" s="1" t="s">
        <v>25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49</v>
      </c>
      <c r="B18" s="1" t="s">
        <v>50</v>
      </c>
      <c r="C18" s="1" t="s">
        <v>51</v>
      </c>
      <c r="D18" s="1" t="str">
        <f t="shared" si="1"/>
        <v>#d12f60</v>
      </c>
      <c r="E18" s="1" t="s">
        <v>33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">
        <v>49</v>
      </c>
      <c r="B19" s="1" t="s">
        <v>52</v>
      </c>
      <c r="C19" s="1" t="s">
        <v>53</v>
      </c>
      <c r="D19" s="1" t="str">
        <f t="shared" si="1"/>
        <v>#FFFFFF</v>
      </c>
      <c r="E19" s="1" t="s">
        <v>36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49</v>
      </c>
      <c r="B20" s="1" t="s">
        <v>54</v>
      </c>
      <c r="C20" s="1" t="s">
        <v>55</v>
      </c>
      <c r="D20" s="1" t="str">
        <f t="shared" si="1"/>
        <v>#FFFFFF</v>
      </c>
      <c r="E20" s="1" t="s">
        <v>37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 t="s">
        <v>49</v>
      </c>
      <c r="B21" s="1" t="s">
        <v>56</v>
      </c>
      <c r="C21" s="1" t="s">
        <v>57</v>
      </c>
      <c r="D21" s="1" t="str">
        <f t="shared" si="1"/>
        <v>#d12f60</v>
      </c>
      <c r="E21" s="1" t="s">
        <v>25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 t="s">
        <v>49</v>
      </c>
      <c r="B22" s="1" t="s">
        <v>58</v>
      </c>
      <c r="C22" s="1" t="s">
        <v>59</v>
      </c>
      <c r="D22" s="1" t="str">
        <f t="shared" si="1"/>
        <v>#d12f60</v>
      </c>
      <c r="E22" s="1" t="s">
        <v>33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 t="s">
        <v>49</v>
      </c>
      <c r="B23" s="1" t="s">
        <v>49</v>
      </c>
      <c r="C23" s="1" t="s">
        <v>59</v>
      </c>
      <c r="D23" s="1" t="str">
        <f t="shared" si="1"/>
        <v>#d12f60</v>
      </c>
      <c r="E23" s="1" t="s">
        <v>33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 t="s">
        <v>60</v>
      </c>
      <c r="B24" s="1" t="s">
        <v>61</v>
      </c>
      <c r="C24" s="1" t="s">
        <v>62</v>
      </c>
      <c r="D24" s="1" t="str">
        <f t="shared" si="1"/>
        <v>#FFFFFF</v>
      </c>
      <c r="E24" s="1" t="s">
        <v>36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 t="s">
        <v>60</v>
      </c>
      <c r="B25" s="1" t="s">
        <v>63</v>
      </c>
      <c r="C25" s="1" t="s">
        <v>64</v>
      </c>
      <c r="D25" s="1" t="str">
        <f t="shared" si="1"/>
        <v>#d12f60</v>
      </c>
      <c r="E25" s="1" t="s">
        <v>33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 t="s">
        <v>60</v>
      </c>
      <c r="B26" s="1" t="s">
        <v>65</v>
      </c>
      <c r="C26" s="1" t="s">
        <v>66</v>
      </c>
      <c r="D26" s="1" t="str">
        <f t="shared" si="1"/>
        <v>#FFFFFF</v>
      </c>
      <c r="E26" s="1" t="s">
        <v>37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5" t="s">
        <v>67</v>
      </c>
      <c r="B27" s="5" t="s">
        <v>68</v>
      </c>
      <c r="C27" s="9" t="s">
        <v>34</v>
      </c>
      <c r="D27" s="5" t="s">
        <v>69</v>
      </c>
      <c r="E27" s="1" t="s">
        <v>68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5" t="s">
        <v>67</v>
      </c>
      <c r="B28" s="5" t="s">
        <v>70</v>
      </c>
      <c r="C28" s="8"/>
      <c r="D28" s="5" t="s">
        <v>71</v>
      </c>
      <c r="E28" s="1" t="s">
        <v>70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 t="s">
        <v>72</v>
      </c>
      <c r="B29" s="1" t="s">
        <v>73</v>
      </c>
      <c r="C29" s="1" t="s">
        <v>74</v>
      </c>
      <c r="D29" s="1" t="str">
        <f t="shared" ref="D29:D31" si="2">VLOOKUP(E29,B:D,3,0)</f>
        <v>#FFFFFF</v>
      </c>
      <c r="E29" s="1" t="s">
        <v>36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 t="s">
        <v>72</v>
      </c>
      <c r="B30" s="1" t="s">
        <v>75</v>
      </c>
      <c r="C30" s="1" t="s">
        <v>76</v>
      </c>
      <c r="D30" s="1" t="str">
        <f t="shared" si="2"/>
        <v>#d12f60</v>
      </c>
      <c r="E30" s="1" t="s">
        <v>33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 t="s">
        <v>72</v>
      </c>
      <c r="B31" s="1" t="s">
        <v>77</v>
      </c>
      <c r="C31" s="1" t="s">
        <v>78</v>
      </c>
      <c r="D31" s="1" t="str">
        <f t="shared" si="2"/>
        <v>#FFFFFF</v>
      </c>
      <c r="E31" s="1" t="s">
        <v>36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">
        <v>79</v>
      </c>
      <c r="B32" s="5" t="s">
        <v>80</v>
      </c>
      <c r="C32" s="5" t="s">
        <v>34</v>
      </c>
      <c r="D32" s="5" t="s">
        <v>69</v>
      </c>
      <c r="E32" s="1" t="s">
        <v>80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">
        <v>79</v>
      </c>
      <c r="B33" s="5" t="s">
        <v>81</v>
      </c>
      <c r="C33" s="5" t="s">
        <v>34</v>
      </c>
      <c r="D33" s="5" t="s">
        <v>71</v>
      </c>
      <c r="E33" s="1" t="s">
        <v>81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2">
    <mergeCell ref="C8:C13"/>
    <mergeCell ref="C27:C2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"/>
  <sheetViews>
    <sheetView workbookViewId="0"/>
  </sheetViews>
  <sheetFormatPr defaultColWidth="12.5703125" defaultRowHeight="15.75" customHeight="1"/>
  <cols>
    <col min="1" max="1" width="17.42578125" customWidth="1"/>
  </cols>
  <sheetData>
    <row r="1" spans="1:26">
      <c r="A1" s="2" t="s">
        <v>1</v>
      </c>
      <c r="B1" s="2" t="s">
        <v>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7</v>
      </c>
      <c r="B2" s="3" t="s">
        <v>9</v>
      </c>
    </row>
    <row r="3" spans="1:26">
      <c r="A3" s="3" t="s">
        <v>10</v>
      </c>
      <c r="B3" s="3" t="s">
        <v>12</v>
      </c>
    </row>
    <row r="4" spans="1:26">
      <c r="A4" s="3" t="s">
        <v>14</v>
      </c>
      <c r="B4" s="3" t="s">
        <v>15</v>
      </c>
    </row>
    <row r="5" spans="1:26">
      <c r="A5" s="3" t="s">
        <v>17</v>
      </c>
      <c r="B5" s="3" t="s">
        <v>18</v>
      </c>
    </row>
    <row r="6" spans="1:26">
      <c r="A6" s="3" t="s">
        <v>19</v>
      </c>
      <c r="B6" s="3" t="s">
        <v>20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tabSelected="1" workbookViewId="0"/>
  </sheetViews>
  <sheetFormatPr defaultColWidth="12.5703125" defaultRowHeight="15.75" customHeight="1"/>
  <sheetData>
    <row r="1" spans="1:1" ht="15.75" customHeight="1">
      <c r="A1" s="10" t="s">
        <v>82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色票</vt:lpstr>
      <vt:lpstr>對應</vt:lpstr>
      <vt:lpstr>規則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 Wu (吳冠璋) [SPTTW2525]</cp:lastModifiedBy>
  <dcterms:modified xsi:type="dcterms:W3CDTF">2026-09-29T07:25:27Z</dcterms:modified>
</cp:coreProperties>
</file>