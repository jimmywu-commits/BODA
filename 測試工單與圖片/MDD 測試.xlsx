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單總覽" sheetId="1" r:id="rId5"/>
    <sheet state="visible" name="Layout_Output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tc={155f9b1d-e6dd-4d95-a3c1-cc1f74e5b5dc}</author>
  </authors>
  <commentList>
    <comment authorId="0" ref="J9">
      <text>
        <t xml:space="preserve">【文案檢查】
1. 請確認符號「(」「，」「)」：素材文案僅使用 $、千分位逗號、-、%</t>
      </text>
    </comment>
    <comment authorId="0" ref="J8">
      <text>
        <t xml:space="preserve">【文案檢查】
1. 請確認「千」：若為數量請改阿拉伯數字（例：3千→3000）；品牌／固定用語可保留</t>
      </text>
    </comment>
    <comment authorId="0" ref="D34">
      <text>
        <t xml:space="preserve">【文案檢查】
1. 請確認「+」：素材文案不使用此符號，請改寫
2. 請確認「.」：素材文案不使用此符號，請改寫（數字間的小數點除外）</t>
      </text>
    </comment>
    <comment authorId="0" ref="M26">
      <text>
        <t xml:space="preserve">【文案檢查】
1. 請確認數字「01」：若為金額請加 $</t>
      </text>
    </comment>
    <comment authorId="0" ref="D44">
      <text>
        <t xml:space="preserve">【文案檢查】
原：電動牙刷-白色
改：電動牙刷 - 白色
1. 數字／金額格式：「電動牙刷 - 白色」（已自動改）</t>
      </text>
    </comment>
    <comment authorId="0" ref="D43">
      <text>
        <t xml:space="preserve">【文案檢查】
原：Oral-B 歐樂B
改：Oral - B 歐樂B
1. 數字／金額格式：「Oral - B 歐樂B」（已自動改）</t>
      </text>
    </comment>
    <comment authorId="0" ref="D9">
      <text>
        <t xml:space="preserve">【文案檢查】
1. 請確認符號「(」「)」：素材文案僅使用 $、千分位逗號、-、%
✔ 已確認｜fang.yangcf@shopee.com｜2026-10-14 11:16（已改文案）</t>
      </text>
    </comment>
    <comment authorId="0" ref="D25">
      <text>
        <t xml:space="preserve">【文案檢查】
1. 請確認「三」：若為數量請改阿拉伯數字；品牌／型號／代數可保留（可改為「3」）</t>
      </text>
    </comment>
    <comment authorId="0" ref="D6">
      <text>
        <t xml:space="preserve">【文案檢查】
原：滿999贈
改：滿$999贈
1. 數字／金額格式：「滿$999贈」（已自動改）</t>
      </text>
    </comment>
    <comment authorId="1" xr:uid="{155f9b1d-e6dd-4d95-a3c1-cc1f74e5b5dc}" ref="J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提醒r多圖用逗號
</t>
      </text>
    </comment>
  </commentList>
</comments>
</file>

<file path=xl/sharedStrings.xml><?xml version="1.0" encoding="utf-8"?>
<sst xmlns="http://schemas.openxmlformats.org/spreadsheetml/2006/main" count="572" uniqueCount="209">
  <si>
    <t>&gt; 手動切換包套後，下方「製作內容文案」會自動切換可開單的版位圖</t>
  </si>
  <si>
    <t>有指定</t>
  </si>
  <si>
    <t>視覺參考</t>
  </si>
  <si>
    <t>曝品比例</t>
  </si>
  <si>
    <t>包套</t>
  </si>
  <si>
    <t>A級-MDD(資交)</t>
  </si>
  <si>
    <t>負責人</t>
  </si>
  <si>
    <r>
      <rPr>
        <rFont val="Noto Sans"/>
        <color theme="1"/>
      </rPr>
      <t xml:space="preserve">Aaliyah </t>
    </r>
    <r>
      <rPr>
        <rFont val="Noto Sans"/>
        <color rgb="FFCCCCCC"/>
      </rPr>
      <t>(範例)</t>
    </r>
  </si>
  <si>
    <t>版本號</t>
  </si>
  <si>
    <t>更新重點</t>
  </si>
  <si>
    <t>活動時間</t>
  </si>
  <si>
    <r>
      <rPr>
        <rFont val="Noto Sans"/>
        <color theme="1"/>
      </rPr>
      <t xml:space="preserve">4/2 12:00 - 4/7 11:59 </t>
    </r>
    <r>
      <rPr>
        <rFont val="Noto Sans"/>
        <color rgb="FFB7B7B7"/>
      </rPr>
      <t>(範例)</t>
    </r>
  </si>
  <si>
    <t>V1</t>
  </si>
  <si>
    <r>
      <rPr>
        <rFont val="Noto Sans"/>
        <color theme="1"/>
      </rPr>
      <t xml:space="preserve">1.折扣修改 </t>
    </r>
    <r>
      <rPr>
        <rFont val="Noto Sans"/>
        <color rgb="FFB7B7B7"/>
      </rPr>
      <t>(範例)</t>
    </r>
    <r>
      <rPr>
        <rFont val="Noto Sans"/>
        <color theme="1"/>
      </rPr>
      <t xml:space="preserve">
2.補齊資訊 </t>
    </r>
    <r>
      <rPr>
        <rFont val="Noto Sans"/>
        <color rgb="FFB7B7B7"/>
      </rPr>
      <t>(範例)</t>
    </r>
  </si>
  <si>
    <t>美術Deadline</t>
  </si>
  <si>
    <t>一般活動:寄送工單後五個工作天
大活動:寄送工單後15個工作天</t>
  </si>
  <si>
    <t>工作項目名稱</t>
  </si>
  <si>
    <t>XXXXXXXXX</t>
  </si>
  <si>
    <t>總製作張數</t>
  </si>
  <si>
    <t>◆ 底色色號:</t>
  </si>
  <si>
    <t xml:space="preserve"> #398089</t>
  </si>
  <si>
    <t>備註：
(此為範例)比例大小-左品&gt;中品&gt;右品</t>
  </si>
  <si>
    <t>◆ 需求元素:</t>
  </si>
  <si>
    <t>光束、玻璃帷幕當背景、植物剪影</t>
  </si>
  <si>
    <t>行銷目標</t>
  </si>
  <si>
    <t>行銷重點</t>
  </si>
  <si>
    <t>目標客群</t>
  </si>
  <si>
    <r>
      <rPr>
        <rFont val="Noto Sans"/>
        <color theme="1"/>
      </rPr>
      <t>20-30 女性</t>
    </r>
    <r>
      <rPr>
        <rFont val="Noto Sans"/>
        <color rgb="FFB7B7B7"/>
      </rPr>
      <t xml:space="preserve"> (範例)</t>
    </r>
  </si>
  <si>
    <t>◆代言人/IP:</t>
  </si>
  <si>
    <t>◆其他:</t>
  </si>
  <si>
    <t>【製作內容文案】</t>
  </si>
  <si>
    <t>版位</t>
  </si>
  <si>
    <t>張數</t>
  </si>
  <si>
    <t>K數</t>
  </si>
  <si>
    <t>尺寸</t>
  </si>
  <si>
    <t>檔案格式 / 規範</t>
  </si>
  <si>
    <t>規範字數</t>
  </si>
  <si>
    <t>內容</t>
  </si>
  <si>
    <t>CTA</t>
  </si>
  <si>
    <t>Check</t>
  </si>
  <si>
    <t>左邊</t>
  </si>
  <si>
    <t>中間</t>
  </si>
  <si>
    <t>右邊</t>
  </si>
  <si>
    <t>DD Card BN (APP)</t>
  </si>
  <si>
    <t>245K</t>
  </si>
  <si>
    <t>531x792</t>
  </si>
  <si>
    <t>JPG 檔</t>
  </si>
  <si>
    <t>LOGO(限0-3個內)依序：</t>
  </si>
  <si>
    <t>GIGASTONE_LOGO</t>
  </si>
  <si>
    <t>XXX品牌</t>
  </si>
  <si>
    <t>放心買 安心退▸</t>
  </si>
  <si>
    <t>G:\共用雲端硬碟</t>
  </si>
  <si>
    <t>主標(限8字內)</t>
  </si>
  <si>
    <t>主標文案$200</t>
  </si>
  <si>
    <t>副標(限7字內)</t>
  </si>
  <si>
    <t>副標文案$300</t>
  </si>
  <si>
    <t>日期/警語(限14字內)</t>
  </si>
  <si>
    <t>10/12 一日限定</t>
  </si>
  <si>
    <t>商品品名-依序：
(限1-3品內)</t>
  </si>
  <si>
    <t>2026-05-19 11 49 59</t>
  </si>
  <si>
    <t>2026-05-19 11 50 16-Photoroom</t>
  </si>
  <si>
    <t>iphone17</t>
  </si>
  <si>
    <t>代言人照+簽名檔路徑
(將取代2品)</t>
  </si>
  <si>
    <t>代言人小字</t>
  </si>
  <si>
    <t>陳美鳳唯一推薦</t>
  </si>
  <si>
    <t>C2C HBN (PC)</t>
  </si>
  <si>
    <t>145K</t>
  </si>
  <si>
    <t>1200x360</t>
  </si>
  <si>
    <t>主標文案可08字內</t>
  </si>
  <si>
    <t>副標文案可07字</t>
  </si>
  <si>
    <t>Mall HBN</t>
  </si>
  <si>
    <t>同HBN</t>
  </si>
  <si>
    <t>活動總覽</t>
  </si>
  <si>
    <t>首頁LOGO牆</t>
  </si>
  <si>
    <t>X</t>
  </si>
  <si>
    <t>402x483</t>
  </si>
  <si>
    <t>LOGO</t>
  </si>
  <si>
    <t>LOGO路徑:</t>
  </si>
  <si>
    <t>挑選KV 3品之1</t>
  </si>
  <si>
    <t>曝品路徑(或品名):</t>
  </si>
  <si>
    <t>FB POST</t>
  </si>
  <si>
    <t>1200x630</t>
  </si>
  <si>
    <t>AMS BN 推廣者後臺BN</t>
  </si>
  <si>
    <t>450K</t>
  </si>
  <si>
    <t>1077x264</t>
  </si>
  <si>
    <t>AR</t>
  </si>
  <si>
    <t>100x100</t>
  </si>
  <si>
    <r>
      <rPr>
        <rFont val="Noto Sans"/>
        <color theme="1"/>
      </rPr>
      <t xml:space="preserve">文案6字內 or LOGO
</t>
    </r>
    <r>
      <rPr>
        <rFont val="Noto Sans"/>
        <color rgb="FFFF0000"/>
      </rPr>
      <t>2擇1</t>
    </r>
  </si>
  <si>
    <t>全館3折</t>
  </si>
  <si>
    <t>LPBN+副區</t>
  </si>
  <si>
    <t>1200x規範高</t>
  </si>
  <si>
    <t>依Layout</t>
  </si>
  <si>
    <t>MSBN-1</t>
  </si>
  <si>
    <t>MSBN-2</t>
  </si>
  <si>
    <t>MSBN-3</t>
  </si>
  <si>
    <t>MSBN-4</t>
  </si>
  <si>
    <t>MSBN-5</t>
  </si>
  <si>
    <t>MSBN-6</t>
  </si>
  <si>
    <t>吸底圖</t>
  </si>
  <si>
    <t>文字錨點色系</t>
  </si>
  <si>
    <t>背景色號</t>
  </si>
  <si>
    <t>廠商自製MSBN-8張</t>
  </si>
  <si>
    <t xml:space="preserve">完稿圖路徑: </t>
  </si>
  <si>
    <t>G:\共用雲端硬碟\EXT_TWN_SHP_外部-2026-H2\11\1109\MALL\品牌旗艦(MDD)\1109(賣)MDD</t>
  </si>
  <si>
    <t xml:space="preserve">BD商品圖公槽: </t>
  </si>
  <si>
    <t>G:\共用雲端硬碟\xxxxx</t>
  </si>
  <si>
    <t>素材名稱</t>
  </si>
  <si>
    <t>圖片檔名</t>
  </si>
  <si>
    <t>Layout (若有特殊客製化需求請於 Layout 頁中補充以及放上示意圖)</t>
  </si>
  <si>
    <r>
      <rPr>
        <rFont val="Roboto"/>
        <color rgb="FFFFFFFF"/>
        <sz val="9.0"/>
      </rPr>
      <t>中文 1 字、英數與半形符號 0.5 字；多圖或是指定 Icon 請在商品圖欄位中以 "," 分隔放上其他圖片檔名或是指定</t>
    </r>
    <r>
      <rPr>
        <rFont val="Roboto"/>
        <color rgb="FF000000"/>
        <sz val="9.0"/>
      </rPr>
      <t xml:space="preserve"> 活動頁ICON</t>
    </r>
    <r>
      <rPr>
        <rFont val="Roboto"/>
        <color rgb="FFFFFFFF"/>
        <sz val="9.0"/>
      </rPr>
      <t xml:space="preserve"> 檔名</t>
    </r>
  </si>
  <si>
    <t>圖片僅供版配與欄位位置對照，不代表最終正式稿</t>
  </si>
  <si>
    <t>校稿區 (預設會打 OK，如果要反修請直接填入欲返修的資訊)</t>
  </si>
  <si>
    <t>副區</t>
  </si>
  <si>
    <t>副區_01</t>
  </si>
  <si>
    <t>副區_B-1-1</t>
  </si>
  <si>
    <t>副區_B-1-2</t>
  </si>
  <si>
    <t>促標</t>
  </si>
  <si>
    <t>滿$999贈</t>
  </si>
  <si>
    <t>滿$1,999抽</t>
  </si>
  <si>
    <t>滿$3,099抽</t>
  </si>
  <si>
    <t>商品圖</t>
  </si>
  <si>
    <t>1</t>
  </si>
  <si>
    <t>2,3</t>
  </si>
  <si>
    <t>1-(4)-(1)</t>
  </si>
  <si>
    <t>品名</t>
  </si>
  <si>
    <t>妮維雅防曬隔離乳</t>
  </si>
  <si>
    <t>千元保健好禮</t>
  </si>
  <si>
    <t>胜肽超紅緊緻組</t>
  </si>
  <si>
    <t>小字</t>
  </si>
  <si>
    <t>(數量有限，送完為止)</t>
  </si>
  <si>
    <t>(各抽1名，隨機出貨)</t>
  </si>
  <si>
    <t>MSBN</t>
  </si>
  <si>
    <t>MSBN_01</t>
  </si>
  <si>
    <t>MSBN_A-2-2</t>
  </si>
  <si>
    <t>肌膚管理專家</t>
  </si>
  <si>
    <t>全方位保養</t>
  </si>
  <si>
    <t>Swissvita薇佳</t>
  </si>
  <si>
    <t>OLAY 歐蕾</t>
  </si>
  <si>
    <t>神經醯胺穩膚露</t>
  </si>
  <si>
    <t>▶</t>
  </si>
  <si>
    <t>鎖定</t>
  </si>
  <si>
    <t>2-(4)-Photoroom</t>
  </si>
  <si>
    <t>贈品圖</t>
  </si>
  <si>
    <t>圓標</t>
  </si>
  <si>
    <t>狂降61折</t>
  </si>
  <si>
    <t>狂降7折</t>
  </si>
  <si>
    <t>MSBN_02</t>
  </si>
  <si>
    <t>超值3件組</t>
  </si>
  <si>
    <t>超值2件組</t>
  </si>
  <si>
    <t>SENTOSA 三多</t>
  </si>
  <si>
    <t>營養師輕食</t>
  </si>
  <si>
    <t>金盞花葉黃素膠囊</t>
  </si>
  <si>
    <t>台灣01益生菌</t>
  </si>
  <si>
    <t>2026-05-19 11 49 59-Photoroom</t>
  </si>
  <si>
    <t>狂降62折</t>
  </si>
  <si>
    <t>狂降79折</t>
  </si>
  <si>
    <t>MSBN_03</t>
  </si>
  <si>
    <t>2款可選</t>
  </si>
  <si>
    <t>feat.+保健系列</t>
  </si>
  <si>
    <t>雪芙蘭</t>
  </si>
  <si>
    <t>CCC極光膠囊</t>
  </si>
  <si>
    <t>高效潤膚乳液400g</t>
  </si>
  <si>
    <t>iPhone19 PLUS</t>
  </si>
  <si>
    <t>AAAA</t>
  </si>
  <si>
    <t>狂降51折</t>
  </si>
  <si>
    <t>狂降69折</t>
  </si>
  <si>
    <t>MSBN_04</t>
  </si>
  <si>
    <t>口腔清潔必備</t>
  </si>
  <si>
    <t>多款可選</t>
  </si>
  <si>
    <t>Oral - B 歐樂B</t>
  </si>
  <si>
    <t>colorgram</t>
  </si>
  <si>
    <t>電動牙刷 - 白色</t>
  </si>
  <si>
    <t>提亮飾底乳</t>
  </si>
  <si>
    <t>Oral-B 歐樂B</t>
  </si>
  <si>
    <t>iPhone20 PRO</t>
  </si>
  <si>
    <t/>
  </si>
  <si>
    <t>狂降85折</t>
  </si>
  <si>
    <t>狂降5折</t>
  </si>
  <si>
    <t>MSBN_05</t>
  </si>
  <si>
    <t>MSBN_B-1-3</t>
  </si>
  <si>
    <t>KI60415GG-1</t>
  </si>
  <si>
    <t>LOGO圖</t>
  </si>
  <si>
    <t>vivo 标志（RGB)</t>
  </si>
  <si>
    <t>代言人字</t>
  </si>
  <si>
    <t>年度代言人</t>
  </si>
  <si>
    <t>文案</t>
  </si>
  <si>
    <t>徐美鳳</t>
  </si>
  <si>
    <t>逛逛去</t>
  </si>
  <si>
    <t>MSBN_06</t>
  </si>
  <si>
    <t>Plainme_YOBI 連帽外套 _1</t>
  </si>
  <si>
    <t>Copy of SF_logo_596x596</t>
  </si>
  <si>
    <t>洪阿雄</t>
  </si>
  <si>
    <t>GO</t>
  </si>
  <si>
    <t>吸底_四格</t>
  </si>
  <si>
    <t>第1顆</t>
  </si>
  <si>
    <t>icon圖或品牌logo圖</t>
  </si>
  <si>
    <t>home</t>
  </si>
  <si>
    <t>案型</t>
  </si>
  <si>
    <t>主會場</t>
  </si>
  <si>
    <t>備註：icon與logo二選一填寫</t>
  </si>
  <si>
    <t>第2顆</t>
  </si>
  <si>
    <t>Dyson_Logo480x360去背版</t>
  </si>
  <si>
    <t>DYSON</t>
  </si>
  <si>
    <t>第3顆</t>
  </si>
  <si>
    <t>Logo</t>
  </si>
  <si>
    <t>日本將軍</t>
  </si>
  <si>
    <t>第4顆</t>
  </si>
  <si>
    <t>vivo</t>
  </si>
  <si>
    <t>VIVO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</si>
</sst>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General"/>
  </numFmts>
  <fonts count="17">
    <font>
      <sz val="10.0"/>
      <color rgb="FF000000"/>
      <name val="Arial"/>
      <scheme val="minor"/>
    </font>
    <font>
      <color theme="1"/>
      <name val="Arial"/>
    </font>
    <font>
      <color theme="1"/>
      <name val="Noto Sans"/>
    </font>
    <font>
      <b/>
      <color theme="1"/>
      <name val="Calibri"/>
    </font>
    <font>
      <b/>
      <color rgb="FFFFFFFF"/>
      <name val="Calibri"/>
    </font>
    <font/>
    <font>
      <color rgb="FFFFFFFF"/>
      <name val="Noto Sans"/>
    </font>
    <font>
      <b/>
      <color theme="1"/>
      <name val="Noto Sans"/>
    </font>
    <font>
      <color rgb="FFFF0000"/>
      <name val="Noto Sans"/>
    </font>
    <font>
      <color rgb="FF999999"/>
      <name val="Noto Sans"/>
    </font>
    <font>
      <color rgb="FF666666"/>
      <name val="Noto Sans"/>
    </font>
    <font>
      <sz val="9.0"/>
      <color rgb="FF000000"/>
      <name val="Roboto"/>
    </font>
    <font>
      <sz val="9.0"/>
      <color rgb="FFFFFFFF"/>
      <name val="Roboto"/>
    </font>
    <font>
      <u/>
      <sz val="9.0"/>
      <color rgb="FFFFFFFF"/>
      <name val="Roboto"/>
    </font>
    <font>
      <sz val="9.0"/>
      <color rgb="FFFFFFFF"/>
      <name val="Arial"/>
      <scheme val="minor"/>
    </font>
    <font>
      <color theme="1"/>
      <name val="Arial"/>
      <scheme val="minor"/>
    </font>
    <font>
      <sz val="9.0"/>
      <color theme="1"/>
      <name val="Roboto"/>
    </font>
  </fonts>
  <fills count="1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45818E"/>
        <bgColor rgb="FF45818E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134F5C"/>
        <bgColor rgb="FF134F5C"/>
      </patternFill>
    </fill>
    <fill>
      <patternFill patternType="solid">
        <fgColor rgb="FFA2C4C9"/>
        <bgColor rgb="FFA2C4C9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171717"/>
        <bgColor rgb="FF171717"/>
      </patternFill>
    </fill>
    <fill>
      <patternFill patternType="solid">
        <fgColor rgb="FF3C4043"/>
        <bgColor rgb="FF3C4043"/>
      </patternFill>
    </fill>
    <fill>
      <patternFill patternType="solid">
        <fgColor rgb="FFD9EAD3"/>
        <bgColor rgb="FFD9EAD3"/>
      </patternFill>
    </fill>
    <fill>
      <patternFill patternType="solid">
        <fgColor rgb="FFE7E6E6"/>
        <bgColor rgb="FFE7E6E6"/>
      </patternFill>
    </fill>
  </fills>
  <borders count="84">
    <border/>
    <border>
      <left style="thick">
        <color rgb="FF000000"/>
      </left>
      <top style="thick">
        <color rgb="FF000000"/>
      </top>
    </border>
    <border>
      <left style="medium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 style="medium">
        <color rgb="FF000000"/>
      </left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top style="medium">
        <color rgb="FF000000"/>
      </top>
      <bottom style="dotted">
        <color rgb="FF000000"/>
      </bottom>
    </border>
    <border>
      <top style="medium">
        <color rgb="FF000000"/>
      </top>
      <bottom style="dotted">
        <color rgb="FF000000"/>
      </bottom>
    </border>
    <border>
      <right style="medium">
        <color rgb="FF000000"/>
      </right>
      <top style="medium">
        <color rgb="FF000000"/>
      </top>
      <bottom style="dotted">
        <color rgb="FF000000"/>
      </bottom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medium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dotted">
        <color rgb="FF000000"/>
      </right>
      <top style="dotted">
        <color rgb="FF000000"/>
      </top>
      <bottom style="thick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ck">
        <color rgb="FF000000"/>
      </bottom>
    </border>
    <border>
      <left style="dotted">
        <color rgb="FF000000"/>
      </left>
      <top style="dotted">
        <color rgb="FF000000"/>
      </top>
      <bottom style="thick">
        <color rgb="FF000000"/>
      </bottom>
    </border>
    <border>
      <top style="dotted">
        <color rgb="FF000000"/>
      </top>
      <bottom style="thick">
        <color rgb="FF000000"/>
      </bottom>
    </border>
    <border>
      <right style="medium">
        <color rgb="FF000000"/>
      </right>
      <top style="dotted">
        <color rgb="FF000000"/>
      </top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/>
    </border>
    <border>
      <left style="thin">
        <color rgb="FF777777"/>
      </left>
      <right style="thin">
        <color rgb="FF777777"/>
      </right>
      <top style="thin">
        <color rgb="FF777777"/>
      </top>
    </border>
    <border>
      <left style="thin">
        <color rgb="FF777777"/>
      </left>
      <top style="thin">
        <color rgb="FF777777"/>
      </top>
      <bottom style="thin">
        <color rgb="FF777777"/>
      </bottom>
    </border>
    <border>
      <top style="thin">
        <color rgb="FF777777"/>
      </top>
      <bottom style="thin">
        <color rgb="FF777777"/>
      </bottom>
    </border>
    <border>
      <left style="thin">
        <color rgb="FF777777"/>
      </left>
      <right style="thin">
        <color rgb="FF777777"/>
      </right>
      <bottom style="thin">
        <color rgb="FF777777"/>
      </bottom>
    </border>
    <border>
      <right style="thin">
        <color rgb="FF777777"/>
      </right>
      <top style="thin">
        <color rgb="FF777777"/>
      </top>
      <bottom style="thin">
        <color rgb="FF777777"/>
      </bottom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  <border>
      <left style="thin">
        <color rgb="FF777777"/>
      </left>
      <top style="thin">
        <color rgb="FF777777"/>
      </top>
    </border>
    <border>
      <top style="thin">
        <color rgb="FF777777"/>
      </top>
    </border>
    <border>
      <right style="thin">
        <color rgb="FF777777"/>
      </right>
      <top style="thin">
        <color rgb="FF777777"/>
      </top>
    </border>
    <border>
      <left/>
      <top/>
    </border>
    <border>
      <top/>
    </border>
    <border>
      <right/>
      <top/>
    </border>
    <border>
      <left/>
    </border>
    <border>
      <left/>
      <right/>
      <top/>
      <bottom/>
    </border>
    <border>
      <left/>
      <bottom/>
    </border>
    <border>
      <bottom/>
    </border>
    <border>
      <right/>
      <bottom/>
    </border>
    <border>
      <left style="thin">
        <color rgb="FF777777"/>
      </left>
      <top style="thin">
        <color rgb="FF777777"/>
      </top>
      <bottom/>
    </border>
    <border>
      <top style="thin">
        <color rgb="FF777777"/>
      </top>
      <bottom/>
    </border>
    <border>
      <right/>
      <top style="thin">
        <color rgb="FF777777"/>
      </top>
      <bottom/>
    </border>
    <border>
      <left/>
      <right/>
      <top/>
    </border>
    <border>
      <left/>
      <right/>
    </border>
    <border>
      <left style="thin">
        <color rgb="FF999999"/>
      </left>
      <right/>
      <top style="thin">
        <color rgb="FF999999"/>
      </top>
      <bottom style="thin">
        <color rgb="FF999999"/>
      </bottom>
    </border>
    <border>
      <left/>
      <right/>
      <bottom/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right"/>
    </xf>
    <xf borderId="0" fillId="2" fontId="1" numFmtId="0" xfId="0" applyAlignment="1" applyFill="1" applyFont="1">
      <alignment vertical="bottom"/>
    </xf>
    <xf borderId="1" fillId="0" fontId="3" numFmtId="0" xfId="0" applyAlignment="1" applyBorder="1" applyFont="1">
      <alignment horizontal="center" vertical="bottom"/>
    </xf>
    <xf borderId="2" fillId="3" fontId="4" numFmtId="0" xfId="0" applyAlignment="1" applyBorder="1" applyFill="1" applyFont="1">
      <alignment horizontal="center" vertical="bottom"/>
    </xf>
    <xf borderId="3" fillId="0" fontId="5" numFmtId="0" xfId="0" applyBorder="1" applyFont="1"/>
    <xf borderId="3" fillId="0" fontId="3" numFmtId="0" xfId="0" applyAlignment="1" applyBorder="1" applyFont="1">
      <alignment horizontal="center" vertical="bottom"/>
    </xf>
    <xf borderId="4" fillId="0" fontId="5" numFmtId="0" xfId="0" applyBorder="1" applyFont="1"/>
    <xf borderId="5" fillId="4" fontId="6" numFmtId="0" xfId="0" applyAlignment="1" applyBorder="1" applyFill="1" applyFont="1">
      <alignment horizontal="right"/>
    </xf>
    <xf borderId="6" fillId="5" fontId="1" numFmtId="0" xfId="0" applyAlignment="1" applyBorder="1" applyFill="1" applyFont="1">
      <alignment horizontal="center" readingOrder="0"/>
    </xf>
    <xf borderId="7" fillId="0" fontId="5" numFmtId="0" xfId="0" applyBorder="1" applyFont="1"/>
    <xf borderId="8" fillId="0" fontId="5" numFmtId="0" xfId="0" applyBorder="1" applyFont="1"/>
    <xf borderId="0" fillId="0" fontId="1" numFmtId="0" xfId="0" applyFont="1"/>
    <xf borderId="1" fillId="0" fontId="1" numFmtId="0" xfId="0" applyBorder="1" applyFont="1"/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9" fillId="4" fontId="6" numFmtId="0" xfId="0" applyAlignment="1" applyBorder="1" applyFill="1" applyFont="1">
      <alignment horizontal="right"/>
    </xf>
    <xf borderId="10" fillId="0" fontId="2" numFmtId="0" xfId="0" applyAlignment="1" applyBorder="1" applyFont="1">
      <alignment horizontal="center"/>
    </xf>
    <xf borderId="11" fillId="0" fontId="5" numFmtId="0" xfId="0" applyBorder="1" applyFont="1"/>
    <xf borderId="12" fillId="0" fontId="5" numFmtId="0" xfId="0" applyBorder="1" applyFont="1"/>
    <xf borderId="10" fillId="4" fontId="6" numFmtId="0" xfId="0" applyAlignment="1" applyBorder="1" applyFill="1" applyFont="1">
      <alignment horizontal="center"/>
    </xf>
    <xf borderId="13" fillId="0" fontId="5" numFmtId="0" xfId="0" applyBorder="1" applyFont="1"/>
    <xf borderId="0" fillId="0" fontId="1" numFmtId="0" xfId="0" applyAlignment="1" applyFont="1">
      <alignment vertical="bottom"/>
    </xf>
    <xf borderId="14" fillId="0" fontId="5" numFmtId="0" xfId="0" applyBorder="1" applyFont="1"/>
    <xf borderId="15" fillId="0" fontId="1" numFmtId="0" xfId="0" applyAlignment="1" applyBorder="1" applyFont="1">
      <alignment vertical="bottom"/>
    </xf>
    <xf borderId="16" fillId="0" fontId="1" numFmtId="0" xfId="0" applyAlignment="1" applyBorder="1" applyFont="1">
      <alignment vertical="bottom"/>
    </xf>
    <xf borderId="17" fillId="0" fontId="7" numFmtId="0" xfId="0" applyAlignment="1" applyBorder="1" applyFont="1">
      <alignment horizontal="center"/>
    </xf>
    <xf borderId="18" fillId="0" fontId="2" numFmtId="0" xfId="0" applyBorder="1" applyFont="1"/>
    <xf borderId="19" fillId="0" fontId="5" numFmtId="0" xfId="0" applyBorder="1" applyFont="1"/>
    <xf borderId="20" fillId="0" fontId="5" numFmtId="0" xfId="0" applyBorder="1" applyFont="1"/>
    <xf borderId="0" fillId="2" fontId="1" numFmtId="164" xfId="0" applyAlignment="1" applyFill="1" applyFont="1" applyNumberFormat="1">
      <alignment vertical="bottom"/>
    </xf>
    <xf borderId="21" fillId="4" fontId="6" numFmtId="164" xfId="0" applyAlignment="1" applyBorder="1" applyFill="1" applyFont="1" applyNumberFormat="1">
      <alignment horizontal="right"/>
    </xf>
    <xf borderId="18" fillId="0" fontId="8" numFmtId="0" xfId="0" applyBorder="1" applyFont="1"/>
    <xf borderId="22" fillId="0" fontId="5" numFmtId="0" xfId="0" applyBorder="1" applyFont="1"/>
    <xf borderId="23" fillId="0" fontId="5" numFmtId="0" xfId="0" applyBorder="1" applyFont="1"/>
    <xf borderId="24" fillId="0" fontId="5" numFmtId="0" xfId="0" applyBorder="1" applyFont="1"/>
    <xf borderId="16" fillId="0" fontId="5" numFmtId="0" xfId="0" applyBorder="1" applyFont="1"/>
    <xf borderId="25" fillId="0" fontId="5" numFmtId="0" xfId="0" applyBorder="1" applyFont="1"/>
    <xf borderId="26" fillId="0" fontId="5" numFmtId="0" xfId="0" applyBorder="1" applyFont="1"/>
    <xf borderId="27" fillId="0" fontId="5" numFmtId="0" xfId="0" applyBorder="1" applyFont="1"/>
    <xf borderId="28" fillId="0" fontId="5" numFmtId="0" xfId="0" applyBorder="1" applyFont="1"/>
    <xf borderId="29" fillId="0" fontId="5" numFmtId="0" xfId="0" applyBorder="1" applyFont="1"/>
    <xf borderId="30" fillId="0" fontId="5" numFmtId="0" xfId="0" applyBorder="1" applyFont="1"/>
    <xf borderId="31" fillId="0" fontId="1" numFmtId="0" xfId="0" applyAlignment="1" applyBorder="1" applyFont="1">
      <alignment vertical="bottom"/>
    </xf>
    <xf borderId="32" fillId="0" fontId="1" numFmtId="0" xfId="0" applyAlignment="1" applyBorder="1" applyFont="1">
      <alignment vertical="bottom"/>
    </xf>
    <xf borderId="33" fillId="0" fontId="1" numFmtId="0" xfId="0" applyAlignment="1" applyBorder="1" applyFont="1">
      <alignment vertical="bottom"/>
    </xf>
    <xf borderId="21" fillId="4" fontId="6" numFmtId="0" xfId="0" applyAlignment="1" applyBorder="1" applyFill="1" applyFont="1">
      <alignment horizontal="right" shrinkToFit="0" wrapText="1"/>
    </xf>
    <xf borderId="18" fillId="0" fontId="7" numFmtId="3" xfId="0" applyAlignment="1" applyBorder="1" applyFont="1" applyNumberFormat="1">
      <alignment horizontal="center" shrinkToFit="0" wrapText="1"/>
    </xf>
    <xf borderId="34" fillId="2" fontId="2" numFmtId="0" xfId="0" applyBorder="1" applyFill="1" applyFont="1"/>
    <xf borderId="35" fillId="2" fontId="2" numFmtId="0" xfId="0" applyAlignment="1" applyBorder="1" applyFill="1" applyFont="1">
      <alignment horizontal="center"/>
    </xf>
    <xf borderId="36" fillId="2" fontId="2" numFmtId="0" xfId="0" applyBorder="1" applyFill="1" applyFont="1"/>
    <xf borderId="37" fillId="0" fontId="5" numFmtId="0" xfId="0" applyBorder="1" applyFont="1"/>
    <xf borderId="38" fillId="0" fontId="5" numFmtId="0" xfId="0" applyBorder="1" applyFont="1"/>
    <xf borderId="39" fillId="0" fontId="8" numFmtId="0" xfId="0" applyBorder="1" applyFont="1"/>
    <xf borderId="39" fillId="0" fontId="5" numFmtId="0" xfId="0" applyBorder="1" applyFont="1"/>
    <xf borderId="40" fillId="0" fontId="5" numFmtId="0" xfId="0" applyBorder="1" applyFont="1"/>
    <xf borderId="41" fillId="2" fontId="2" numFmtId="0" xfId="0" applyBorder="1" applyFill="1" applyFont="1"/>
    <xf borderId="42" fillId="2" fontId="2" numFmtId="0" xfId="0" applyAlignment="1" applyBorder="1" applyFill="1" applyFont="1">
      <alignment horizontal="center"/>
    </xf>
    <xf borderId="43" fillId="2" fontId="2" numFmtId="0" xfId="0" applyBorder="1" applyFill="1" applyFont="1"/>
    <xf borderId="44" fillId="0" fontId="5" numFmtId="0" xfId="0" applyBorder="1" applyFont="1"/>
    <xf borderId="45" fillId="0" fontId="5" numFmtId="0" xfId="0" applyBorder="1" applyFont="1"/>
    <xf borderId="21" fillId="4" fontId="6" numFmtId="0" xfId="0" applyAlignment="1" applyBorder="1" applyFill="1" applyFont="1">
      <alignment horizontal="right"/>
    </xf>
    <xf borderId="46" fillId="6" fontId="2" numFmtId="0" xfId="0" applyAlignment="1" applyBorder="1" applyFill="1" applyFont="1">
      <alignment horizontal="center"/>
    </xf>
    <xf borderId="10" fillId="0" fontId="1" numFmtId="0" xfId="0" applyBorder="1" applyFont="1"/>
    <xf borderId="41" fillId="0" fontId="1" numFmtId="0" xfId="0" applyBorder="1" applyFont="1"/>
    <xf borderId="43" fillId="0" fontId="1" numFmtId="0" xfId="0" applyBorder="1" applyFont="1"/>
    <xf borderId="47" fillId="0" fontId="5" numFmtId="0" xfId="0" applyBorder="1" applyFont="1"/>
    <xf borderId="48" fillId="6" fontId="2" numFmtId="0" xfId="0" applyAlignment="1" applyBorder="1" applyFill="1" applyFont="1">
      <alignment horizontal="center"/>
    </xf>
    <xf borderId="49" fillId="0" fontId="2" numFmtId="0" xfId="0" applyBorder="1" applyFont="1"/>
    <xf borderId="50" fillId="0" fontId="5" numFmtId="0" xfId="0" applyBorder="1" applyFont="1"/>
    <xf borderId="51" fillId="0" fontId="5" numFmtId="0" xfId="0" applyBorder="1" applyFont="1"/>
    <xf borderId="43" fillId="2" fontId="1" numFmtId="0" xfId="0" applyBorder="1" applyFill="1" applyFont="1"/>
    <xf borderId="52" fillId="2" fontId="2" numFmtId="0" xfId="0" applyBorder="1" applyFill="1" applyFont="1"/>
    <xf borderId="53" fillId="2" fontId="2" numFmtId="0" xfId="0" applyAlignment="1" applyBorder="1" applyFill="1" applyFont="1">
      <alignment horizontal="center"/>
    </xf>
    <xf borderId="54" fillId="0" fontId="1" numFmtId="0" xfId="0" applyAlignment="1" applyBorder="1" applyFont="1">
      <alignment vertical="bottom"/>
    </xf>
    <xf borderId="55" fillId="0" fontId="5" numFmtId="0" xfId="0" applyBorder="1" applyFont="1"/>
    <xf borderId="56" fillId="0" fontId="5" numFmtId="0" xfId="0" applyBorder="1" applyFont="1"/>
    <xf borderId="57" fillId="0" fontId="5" numFmtId="0" xfId="0" applyBorder="1" applyFont="1"/>
    <xf borderId="58" fillId="0" fontId="5" numFmtId="0" xfId="0" applyBorder="1" applyFont="1"/>
    <xf borderId="59" fillId="0" fontId="2" numFmtId="0" xfId="0" applyAlignment="1" applyBorder="1" applyFont="1">
      <alignment vertical="bottom"/>
    </xf>
    <xf borderId="17" fillId="4" fontId="6" numFmtId="0" xfId="0" applyBorder="1" applyFill="1" applyFont="1"/>
    <xf borderId="17" fillId="4" fontId="6" numFmtId="0" xfId="0" applyAlignment="1" applyBorder="1" applyFill="1" applyFont="1">
      <alignment horizontal="center"/>
    </xf>
    <xf borderId="17" fillId="7" fontId="6" numFmtId="0" xfId="0" applyAlignment="1" applyBorder="1" applyFill="1" applyFont="1">
      <alignment horizontal="center"/>
    </xf>
    <xf borderId="46" fillId="8" fontId="2" numFmtId="0" xfId="0" applyAlignment="1" applyBorder="1" applyFill="1" applyFont="1">
      <alignment horizontal="center" shrinkToFit="0" wrapText="1"/>
    </xf>
    <xf borderId="17" fillId="9" fontId="2" numFmtId="0" xfId="0" applyBorder="1" applyFill="1" applyFont="1"/>
    <xf borderId="17" fillId="9" fontId="2" numFmtId="3" xfId="0" applyAlignment="1" applyBorder="1" applyFill="1" applyFont="1" applyNumberFormat="1">
      <alignment horizontal="center"/>
    </xf>
    <xf borderId="17" fillId="0" fontId="2" numFmtId="0" xfId="0" applyAlignment="1" applyBorder="1" applyFont="1">
      <alignment horizontal="center"/>
    </xf>
    <xf borderId="17" fillId="0" fontId="2" numFmtId="0" xfId="0" applyAlignment="1" applyBorder="1" applyFont="1">
      <alignment horizontal="center" shrinkToFit="0" wrapText="1"/>
    </xf>
    <xf borderId="23" fillId="10" fontId="2" numFmtId="0" xfId="0" applyBorder="1" applyFill="1" applyFont="1"/>
    <xf borderId="23" fillId="0" fontId="9" numFmtId="0" xfId="0" applyAlignment="1" applyBorder="1" applyFont="1">
      <alignment readingOrder="0" shrinkToFit="0" wrapText="1"/>
    </xf>
    <xf borderId="23" fillId="0" fontId="9" numFmtId="0" xfId="0" applyAlignment="1" applyBorder="1" applyFont="1">
      <alignment shrinkToFit="0" wrapText="1"/>
    </xf>
    <xf borderId="23" fillId="0" fontId="2" numFmtId="0" xfId="0" applyAlignment="1" applyBorder="1" applyFont="1">
      <alignment horizontal="center"/>
    </xf>
    <xf borderId="10" fillId="0" fontId="10" numFmtId="0" xfId="0" applyAlignment="1" applyBorder="1" applyFont="1">
      <alignment shrinkToFit="0" wrapText="0"/>
    </xf>
    <xf borderId="46" fillId="10" fontId="2" numFmtId="0" xfId="0" applyBorder="1" applyFill="1" applyFont="1"/>
    <xf borderId="10" fillId="0" fontId="2" numFmtId="0" xfId="0" applyAlignment="1" applyBorder="1" applyFont="1">
      <alignment shrinkToFit="0" wrapText="1"/>
    </xf>
    <xf borderId="0" fillId="11" fontId="2" numFmtId="0" xfId="0" applyAlignment="1" applyFill="1" applyFont="1">
      <alignment horizontal="center"/>
    </xf>
    <xf borderId="17" fillId="10" fontId="2" numFmtId="0" xfId="0" applyBorder="1" applyFill="1" applyFont="1"/>
    <xf borderId="46" fillId="0" fontId="1" numFmtId="0" xfId="0" applyAlignment="1" applyBorder="1" applyFont="1">
      <alignment readingOrder="0"/>
    </xf>
    <xf borderId="0" fillId="12" fontId="6" numFmtId="0" xfId="0" applyAlignment="1" applyFill="1" applyFont="1">
      <alignment horizontal="center"/>
    </xf>
    <xf borderId="17" fillId="0" fontId="10" numFmtId="0" xfId="0" applyAlignment="1" applyBorder="1" applyFont="1">
      <alignment shrinkToFit="0" wrapText="0"/>
    </xf>
    <xf borderId="17" fillId="0" fontId="2" numFmtId="0" xfId="0" applyBorder="1" applyFont="1"/>
    <xf borderId="17" fillId="0" fontId="9" numFmtId="0" xfId="0" applyAlignment="1" applyBorder="1" applyFont="1">
      <alignment shrinkToFit="0" wrapText="1"/>
    </xf>
    <xf borderId="46" fillId="0" fontId="1" numFmtId="0" xfId="0" applyBorder="1" applyFont="1"/>
    <xf borderId="17" fillId="9" fontId="2" numFmtId="0" xfId="0" applyAlignment="1" applyBorder="1" applyFill="1" applyFont="1">
      <alignment shrinkToFit="0" wrapText="1"/>
    </xf>
    <xf borderId="17" fillId="9" fontId="2" numFmtId="3" xfId="0" applyAlignment="1" applyBorder="1" applyFill="1" applyFont="1" applyNumberFormat="1">
      <alignment horizontal="center" shrinkToFit="0" wrapText="1"/>
    </xf>
    <xf borderId="18" fillId="0" fontId="2" numFmtId="0" xfId="0" applyAlignment="1" applyBorder="1" applyFont="1">
      <alignment horizontal="center"/>
    </xf>
    <xf borderId="10" fillId="0" fontId="10" numFmtId="0" xfId="0" applyBorder="1" applyFont="1"/>
    <xf borderId="46" fillId="10" fontId="8" numFmtId="0" xfId="0" applyBorder="1" applyFill="1" applyFont="1"/>
    <xf borderId="17" fillId="0" fontId="1" numFmtId="0" xfId="0" applyAlignment="1" applyBorder="1" applyFont="1">
      <alignment horizontal="center"/>
    </xf>
    <xf borderId="46" fillId="0" fontId="2" numFmtId="0" xfId="0" applyAlignment="1" applyBorder="1" applyFont="1">
      <alignment horizontal="center"/>
    </xf>
    <xf borderId="10" fillId="0" fontId="2" numFmtId="0" xfId="0" applyBorder="1" applyFont="1"/>
    <xf borderId="17" fillId="13" fontId="2" numFmtId="0" xfId="0" applyBorder="1" applyFill="1" applyFont="1"/>
    <xf borderId="17" fillId="13" fontId="2" numFmtId="3" xfId="0" applyAlignment="1" applyBorder="1" applyFill="1" applyFont="1" applyNumberFormat="1">
      <alignment horizontal="center"/>
    </xf>
    <xf borderId="46" fillId="13" fontId="2" numFmtId="0" xfId="0" applyBorder="1" applyFill="1" applyFont="1"/>
    <xf borderId="46" fillId="13" fontId="2" numFmtId="3" xfId="0" applyAlignment="1" applyBorder="1" applyFill="1" applyFont="1" applyNumberFormat="1">
      <alignment horizontal="center"/>
    </xf>
    <xf borderId="0" fillId="0" fontId="1" numFmtId="3" xfId="0" applyAlignment="1" applyFont="1" applyNumberFormat="1">
      <alignment vertical="bottom"/>
    </xf>
    <xf borderId="0" fillId="0" fontId="11" numFmtId="0" xfId="0" applyAlignment="1" applyFont="1">
      <alignment horizontal="center" readingOrder="0" shrinkToFit="0" vertical="center" wrapText="1"/>
    </xf>
    <xf borderId="0" fillId="5" fontId="11" numFmtId="0" xfId="0" applyAlignment="1" applyFill="1" applyFont="1">
      <alignment horizontal="left" readingOrder="0" shrinkToFit="0" vertical="center" wrapText="0"/>
    </xf>
    <xf borderId="0" fillId="14" fontId="11" numFmtId="0" xfId="0" applyAlignment="1" applyFill="1" applyFont="1">
      <alignment horizontal="left" readingOrder="0" shrinkToFit="0" vertical="center" wrapText="0"/>
    </xf>
    <xf borderId="60" fillId="15" fontId="12" numFmtId="0" xfId="0" applyAlignment="1" applyBorder="1" applyFill="1" applyFont="1">
      <alignment horizontal="center" readingOrder="0" shrinkToFit="0" vertical="center" wrapText="1"/>
    </xf>
    <xf borderId="61" fillId="15" fontId="12" numFmtId="0" xfId="0" applyAlignment="1" applyBorder="1" applyFill="1" applyFont="1">
      <alignment horizontal="center" readingOrder="0" shrinkToFit="0" vertical="center" wrapText="0"/>
    </xf>
    <xf borderId="62" fillId="0" fontId="5" numFmtId="0" xfId="0" applyBorder="1" applyFont="1"/>
    <xf borderId="63" fillId="0" fontId="5" numFmtId="0" xfId="0" applyBorder="1" applyFont="1"/>
    <xf borderId="61" fillId="16" fontId="13" numFmtId="0" xfId="0" applyAlignment="1" applyBorder="1" applyFill="1" applyFont="1">
      <alignment horizontal="center" readingOrder="0" shrinkToFit="0" vertical="center" wrapText="1"/>
    </xf>
    <xf borderId="64" fillId="0" fontId="5" numFmtId="0" xfId="0" applyBorder="1" applyFont="1"/>
    <xf borderId="65" fillId="16" fontId="11" numFmtId="0" xfId="0" applyAlignment="1" applyBorder="1" applyFill="1" applyFont="1">
      <alignment horizontal="center" vertical="center"/>
    </xf>
    <xf borderId="61" fillId="16" fontId="12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0" fillId="10" fontId="11" numFmtId="0" xfId="0" applyAlignment="1" applyFill="1" applyFont="1">
      <alignment horizontal="center" readingOrder="0" vertical="center"/>
    </xf>
    <xf borderId="0" fillId="3" fontId="14" numFmtId="0" xfId="0" applyAlignment="1" applyFill="1" applyFont="1">
      <alignment horizontal="center" readingOrder="0" shrinkToFit="0" vertical="center" wrapText="1"/>
    </xf>
    <xf borderId="0" fillId="15" fontId="14" numFmtId="0" xfId="0" applyAlignment="1" applyFill="1" applyFont="1">
      <alignment horizontal="center" readingOrder="0" shrinkToFit="0" vertical="center" wrapText="1"/>
    </xf>
    <xf borderId="61" fillId="15" fontId="12" numFmtId="49" xfId="0" applyAlignment="1" applyBorder="1" applyFill="1" applyFont="1" applyNumberFormat="1">
      <alignment horizontal="center" readingOrder="0" shrinkToFit="0" vertical="center" wrapText="1"/>
    </xf>
    <xf borderId="66" fillId="15" fontId="12" numFmtId="0" xfId="0" applyAlignment="1" applyBorder="1" applyFill="1" applyFont="1">
      <alignment horizontal="center" readingOrder="0" shrinkToFit="0" vertical="center" wrapText="1"/>
    </xf>
    <xf borderId="67" fillId="0" fontId="5" numFmtId="0" xfId="0" applyBorder="1" applyFont="1"/>
    <xf borderId="68" fillId="0" fontId="5" numFmtId="0" xfId="0" applyBorder="1" applyFont="1"/>
    <xf borderId="65" fillId="6" fontId="11" numFmtId="49" xfId="0" applyAlignment="1" applyBorder="1" applyFill="1" applyFont="1" applyNumberFormat="1">
      <alignment horizontal="center" shrinkToFit="0" vertical="center" wrapText="1"/>
    </xf>
    <xf borderId="61" fillId="10" fontId="11" numFmtId="49" xfId="0" applyAlignment="1" applyBorder="1" applyFill="1" applyFont="1" applyNumberFormat="1">
      <alignment horizontal="center" readingOrder="0" shrinkToFit="0" vertical="center" wrapText="1"/>
    </xf>
    <xf borderId="65" fillId="2" fontId="11" numFmtId="165" xfId="0" applyAlignment="1" applyBorder="1" applyFill="1" applyFont="1" applyNumberFormat="1">
      <alignment horizontal="center" shrinkToFit="0" vertical="center" wrapText="1"/>
    </xf>
    <xf borderId="61" fillId="17" fontId="11" numFmtId="49" xfId="0" applyAlignment="1" applyBorder="1" applyFill="1" applyFont="1" applyNumberFormat="1">
      <alignment horizontal="center" readingOrder="0" shrinkToFit="0" vertical="center" wrapText="1"/>
    </xf>
    <xf borderId="69" fillId="2" fontId="11" numFmtId="0" xfId="0" applyAlignment="1" applyBorder="1" applyFill="1" applyFont="1">
      <alignment horizontal="center" vertical="center"/>
    </xf>
    <xf borderId="70" fillId="0" fontId="5" numFmtId="0" xfId="0" applyBorder="1" applyFont="1"/>
    <xf borderId="71" fillId="0" fontId="5" numFmtId="0" xfId="0" applyBorder="1" applyFont="1"/>
    <xf borderId="61" fillId="17" fontId="11" numFmtId="165" xfId="0" applyAlignment="1" applyBorder="1" applyFill="1" applyFont="1" applyNumberFormat="1">
      <alignment horizontal="center" readingOrder="0" shrinkToFit="0" vertical="center" wrapText="1"/>
    </xf>
    <xf borderId="72" fillId="0" fontId="5" numFmtId="0" xfId="0" applyBorder="1" applyFont="1"/>
    <xf borderId="59" fillId="0" fontId="5" numFmtId="0" xfId="0" applyBorder="1" applyFont="1"/>
    <xf borderId="65" fillId="6" fontId="11" numFmtId="165" xfId="0" applyAlignment="1" applyBorder="1" applyFill="1" applyFont="1" applyNumberFormat="1">
      <alignment horizontal="center" shrinkToFit="0" vertical="center" wrapText="1"/>
    </xf>
    <xf borderId="65" fillId="6" fontId="11" numFmtId="165" xfId="0" applyAlignment="1" applyBorder="1" applyFill="1" applyFont="1" applyNumberFormat="1">
      <alignment horizontal="center" readingOrder="0" shrinkToFit="0" vertical="center" wrapText="1"/>
    </xf>
    <xf borderId="65" fillId="6" fontId="15" numFmtId="0" xfId="0" applyBorder="1" applyFill="1" applyFont="1"/>
    <xf borderId="73" fillId="2" fontId="11" numFmtId="0" xfId="0" applyAlignment="1" applyBorder="1" applyFill="1" applyFont="1">
      <alignment horizontal="center" vertical="center"/>
    </xf>
    <xf borderId="65" fillId="6" fontId="11" numFmtId="49" xfId="0" applyAlignment="1" applyBorder="1" applyFill="1" applyFont="1" applyNumberFormat="1">
      <alignment horizontal="center" vertical="center"/>
    </xf>
    <xf borderId="0" fillId="2" fontId="11" numFmtId="0" xfId="0" applyAlignment="1" applyFill="1" applyFont="1">
      <alignment horizontal="center" vertical="center"/>
    </xf>
    <xf borderId="61" fillId="15" fontId="12" numFmtId="0" xfId="0" applyAlignment="1" applyBorder="1" applyFill="1" applyFont="1">
      <alignment horizontal="center" readingOrder="0" shrinkToFit="0" vertical="center" wrapText="1"/>
    </xf>
    <xf borderId="61" fillId="17" fontId="11" numFmtId="49" xfId="0" applyAlignment="1" applyBorder="1" applyFill="1" applyFont="1" applyNumberFormat="1">
      <alignment horizontal="center" readingOrder="0" vertical="center"/>
    </xf>
    <xf borderId="61" fillId="17" fontId="11" numFmtId="165" xfId="0" applyAlignment="1" applyBorder="1" applyFill="1" applyFont="1" applyNumberFormat="1">
      <alignment horizontal="center" readingOrder="0" vertical="center"/>
    </xf>
    <xf borderId="61" fillId="18" fontId="11" numFmtId="49" xfId="0" applyAlignment="1" applyBorder="1" applyFill="1" applyFont="1" applyNumberFormat="1">
      <alignment horizontal="center" shrinkToFit="0" vertical="center" wrapText="1"/>
    </xf>
    <xf borderId="65" fillId="18" fontId="11" numFmtId="49" xfId="0" applyAlignment="1" applyBorder="1" applyFill="1" applyFont="1" applyNumberFormat="1">
      <alignment horizontal="center" shrinkToFit="0" vertical="center" wrapText="1"/>
    </xf>
    <xf borderId="74" fillId="0" fontId="5" numFmtId="0" xfId="0" applyBorder="1" applyFont="1"/>
    <xf borderId="75" fillId="0" fontId="5" numFmtId="0" xfId="0" applyBorder="1" applyFont="1"/>
    <xf borderId="76" fillId="0" fontId="5" numFmtId="0" xfId="0" applyBorder="1" applyFont="1"/>
    <xf borderId="61" fillId="10" fontId="11" numFmtId="49" xfId="0" applyAlignment="1" applyBorder="1" applyFill="1" applyFont="1" applyNumberFormat="1">
      <alignment horizontal="center" readingOrder="0" vertical="center"/>
    </xf>
    <xf borderId="61" fillId="17" fontId="11" numFmtId="49" xfId="0" applyAlignment="1" applyBorder="1" applyFill="1" applyFont="1" applyNumberFormat="1">
      <alignment horizontal="center" vertical="center"/>
    </xf>
    <xf borderId="77" fillId="15" fontId="12" numFmtId="49" xfId="0" applyAlignment="1" applyBorder="1" applyFill="1" applyFont="1" applyNumberFormat="1">
      <alignment horizontal="center" readingOrder="0" shrinkToFit="0" vertical="center" wrapText="1"/>
    </xf>
    <xf borderId="78" fillId="0" fontId="5" numFmtId="0" xfId="0" applyBorder="1" applyFont="1"/>
    <xf borderId="79" fillId="0" fontId="5" numFmtId="0" xfId="0" applyBorder="1" applyFont="1"/>
    <xf borderId="65" fillId="6" fontId="11" numFmtId="49" xfId="0" applyAlignment="1" applyBorder="1" applyFill="1" applyFont="1" applyNumberFormat="1">
      <alignment horizontal="center" readingOrder="0" shrinkToFit="0" vertical="center" wrapText="1"/>
    </xf>
    <xf borderId="65" fillId="6" fontId="11" numFmtId="165" xfId="0" applyAlignment="1" applyBorder="1" applyFill="1" applyFont="1" applyNumberFormat="1">
      <alignment horizontal="center" readingOrder="0" vertical="center"/>
    </xf>
    <xf borderId="65" fillId="2" fontId="11" numFmtId="49" xfId="0" applyAlignment="1" applyBorder="1" applyFill="1" applyFont="1" applyNumberFormat="1">
      <alignment horizontal="center" shrinkToFit="0" vertical="center" wrapText="1"/>
    </xf>
    <xf borderId="80" fillId="15" fontId="12" numFmtId="0" xfId="0" applyAlignment="1" applyBorder="1" applyFill="1" applyFont="1">
      <alignment horizontal="center" shrinkToFit="0" wrapText="1"/>
    </xf>
    <xf borderId="80" fillId="15" fontId="1" numFmtId="0" xfId="0" applyBorder="1" applyFill="1" applyFont="1"/>
    <xf borderId="77" fillId="15" fontId="12" numFmtId="49" xfId="0" applyAlignment="1" applyBorder="1" applyFill="1" applyFont="1" applyNumberFormat="1">
      <alignment horizontal="center" shrinkToFit="0" wrapText="1"/>
    </xf>
    <xf borderId="0" fillId="0" fontId="1" numFmtId="49" xfId="0" applyFont="1" applyNumberFormat="1"/>
    <xf borderId="61" fillId="15" fontId="12" numFmtId="0" xfId="0" applyAlignment="1" applyBorder="1" applyFill="1" applyFont="1">
      <alignment horizontal="center" shrinkToFit="0" wrapText="1"/>
    </xf>
    <xf borderId="81" fillId="0" fontId="5" numFmtId="0" xfId="0" applyBorder="1" applyFont="1"/>
    <xf borderId="82" fillId="6" fontId="16" numFmtId="49" xfId="0" applyAlignment="1" applyBorder="1" applyFill="1" applyFont="1" applyNumberFormat="1">
      <alignment horizontal="center" shrinkToFit="0" wrapText="1"/>
    </xf>
    <xf borderId="61" fillId="6" fontId="16" numFmtId="49" xfId="0" applyAlignment="1" applyBorder="1" applyFill="1" applyFont="1" applyNumberFormat="1">
      <alignment horizontal="center" shrinkToFit="0" wrapText="1"/>
    </xf>
    <xf borderId="61" fillId="17" fontId="1" numFmtId="49" xfId="0" applyAlignment="1" applyBorder="1" applyFill="1" applyFont="1" applyNumberFormat="1">
      <alignment readingOrder="0"/>
    </xf>
    <xf borderId="65" fillId="2" fontId="16" numFmtId="165" xfId="0" applyAlignment="1" applyBorder="1" applyFill="1" applyFont="1" applyNumberFormat="1">
      <alignment horizontal="center" shrinkToFit="0" wrapText="1"/>
    </xf>
    <xf borderId="61" fillId="6" fontId="16" numFmtId="49" xfId="0" applyAlignment="1" applyBorder="1" applyFill="1" applyFont="1" applyNumberFormat="1">
      <alignment horizontal="center"/>
    </xf>
    <xf borderId="83" fillId="0" fontId="5" numFmtId="0" xfId="0" applyBorder="1" applyFont="1"/>
  </cellXfs>
  <cellStyles count="1">
    <cellStyle xfId="0" name="Normal" builtinId="0"/>
  </cellStyles>
  <dxfs count="2">
    <dxf>
      <font>
        <color rgb="FFCC0000"/>
      </font>
      <fill>
        <patternFill patternType="solid">
          <fgColor rgb="FFF4CCCC"/>
          <bgColor rgb="FFF4CCCC"/>
        </patternFill>
      </fill>
      <border/>
    </dxf>
    <dxf>
      <font>
        <color rgb="FF008000"/>
      </font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Relationship Id="rId3" Type="http://schemas.openxmlformats.org/officeDocument/2006/relationships/image" Target="../media/image4.jpg"/><Relationship Id="rId4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0</xdr:colOff>
      <xdr:row>5</xdr:row>
      <xdr:rowOff>0</xdr:rowOff>
    </xdr:from>
    <xdr:ext cx="314325" cy="2667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5</xdr:row>
      <xdr:rowOff>0</xdr:rowOff>
    </xdr:from>
    <xdr:ext cx="314325" cy="2667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5</xdr:row>
      <xdr:rowOff>0</xdr:rowOff>
    </xdr:from>
    <xdr:ext cx="314325" cy="2667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14</xdr:row>
      <xdr:rowOff>0</xdr:rowOff>
    </xdr:from>
    <xdr:ext cx="314325" cy="104775"/>
    <xdr:pic>
      <xdr:nvPicPr>
        <xdr:cNvPr id="0" name="image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23</xdr:row>
      <xdr:rowOff>0</xdr:rowOff>
    </xdr:from>
    <xdr:ext cx="314325" cy="104775"/>
    <xdr:pic>
      <xdr:nvPicPr>
        <xdr:cNvPr id="0" name="image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32</xdr:row>
      <xdr:rowOff>0</xdr:rowOff>
    </xdr:from>
    <xdr:ext cx="314325" cy="104775"/>
    <xdr:pic>
      <xdr:nvPicPr>
        <xdr:cNvPr id="0" name="image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41</xdr:row>
      <xdr:rowOff>0</xdr:rowOff>
    </xdr:from>
    <xdr:ext cx="314325" cy="104775"/>
    <xdr:pic>
      <xdr:nvPicPr>
        <xdr:cNvPr id="0" name="image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50</xdr:row>
      <xdr:rowOff>0</xdr:rowOff>
    </xdr:from>
    <xdr:ext cx="314325" cy="104775"/>
    <xdr:pic>
      <xdr:nvPicPr>
        <xdr:cNvPr id="0" name="image5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57</xdr:row>
      <xdr:rowOff>0</xdr:rowOff>
    </xdr:from>
    <xdr:ext cx="314325" cy="104775"/>
    <xdr:pic>
      <xdr:nvPicPr>
        <xdr:cNvPr id="0" name="image5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Jimmy Wu" id="{f0ee19a5-1365-4898-8705-d9880851bc4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7" dT="2026-10-15T07:10:17.00" personId="{f0ee19a5-1365-4898-8705-d9880851bc47}" id="{155f9b1d-e6dd-4d95-a3c1-cc1f74e5b5dc}" done="0">
    <x18tc:text xml:space="preserve">提醒r多圖用逗號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drive/u/0/folders/16IbxzDql3SC5aBB7qH766PM1rCy4MFmA" TargetMode="External"/><Relationship Id="rId5" Type="http://schemas.openxmlformats.org/officeDocument/2006/relationships/drawing" Target="../drawings/drawing2.xml"/><Relationship Id="rId6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 t="s">
        <v>0</v>
      </c>
      <c r="J1" s="3"/>
      <c r="K1" s="4" t="s">
        <v>1</v>
      </c>
      <c r="L1" s="5" t="s">
        <v>2</v>
      </c>
      <c r="M1" s="6"/>
      <c r="N1" s="6"/>
      <c r="O1" s="6"/>
      <c r="P1" s="7" t="s">
        <v>1</v>
      </c>
      <c r="Q1" s="5" t="s">
        <v>3</v>
      </c>
      <c r="R1" s="6"/>
      <c r="S1" s="6"/>
      <c r="T1" s="8"/>
    </row>
    <row r="2">
      <c r="A2" s="1"/>
      <c r="B2" s="9" t="s">
        <v>4</v>
      </c>
      <c r="C2" s="10" t="s">
        <v>5</v>
      </c>
      <c r="D2" s="11"/>
      <c r="E2" s="11"/>
      <c r="F2" s="11"/>
      <c r="G2" s="11"/>
      <c r="H2" s="11"/>
      <c r="I2" s="12"/>
      <c r="J2" s="13"/>
      <c r="K2" s="14"/>
      <c r="L2" s="6"/>
      <c r="M2" s="6"/>
      <c r="N2" s="6"/>
      <c r="O2" s="6"/>
      <c r="P2" s="15"/>
      <c r="Q2" s="16"/>
      <c r="R2" s="16"/>
      <c r="S2" s="16"/>
      <c r="T2" s="17"/>
    </row>
    <row r="3">
      <c r="A3" s="3"/>
      <c r="B3" s="18" t="s">
        <v>6</v>
      </c>
      <c r="C3" s="19" t="s">
        <v>7</v>
      </c>
      <c r="D3" s="20"/>
      <c r="E3" s="21"/>
      <c r="F3" s="22" t="s">
        <v>8</v>
      </c>
      <c r="G3" s="22" t="s">
        <v>9</v>
      </c>
      <c r="H3" s="20"/>
      <c r="I3" s="23"/>
      <c r="J3" s="24"/>
      <c r="K3" s="25"/>
      <c r="P3" s="26"/>
      <c r="Q3" s="24"/>
      <c r="R3" s="24"/>
      <c r="S3" s="24"/>
      <c r="T3" s="27"/>
    </row>
    <row r="4">
      <c r="A4" s="3"/>
      <c r="B4" s="18" t="s">
        <v>10</v>
      </c>
      <c r="C4" s="19" t="s">
        <v>11</v>
      </c>
      <c r="D4" s="20"/>
      <c r="E4" s="21"/>
      <c r="F4" s="28" t="s">
        <v>12</v>
      </c>
      <c r="G4" s="29" t="s">
        <v>13</v>
      </c>
      <c r="H4" s="30"/>
      <c r="I4" s="31"/>
      <c r="J4" s="24"/>
      <c r="K4" s="25"/>
      <c r="P4" s="26"/>
      <c r="Q4" s="24"/>
      <c r="R4" s="24"/>
      <c r="S4" s="24"/>
      <c r="T4" s="27"/>
    </row>
    <row r="5">
      <c r="A5" s="32"/>
      <c r="B5" s="33" t="s">
        <v>14</v>
      </c>
      <c r="C5" s="34" t="s">
        <v>15</v>
      </c>
      <c r="D5" s="30"/>
      <c r="E5" s="35"/>
      <c r="F5" s="36"/>
      <c r="G5" s="37"/>
      <c r="I5" s="38"/>
      <c r="J5" s="24"/>
      <c r="K5" s="25"/>
      <c r="P5" s="26"/>
      <c r="Q5" s="24"/>
      <c r="R5" s="24"/>
      <c r="S5" s="24"/>
      <c r="T5" s="27"/>
    </row>
    <row r="6">
      <c r="A6" s="32"/>
      <c r="B6" s="39"/>
      <c r="C6" s="40"/>
      <c r="D6" s="41"/>
      <c r="E6" s="42"/>
      <c r="F6" s="43"/>
      <c r="G6" s="40"/>
      <c r="H6" s="41"/>
      <c r="I6" s="44"/>
      <c r="J6" s="24"/>
      <c r="K6" s="25"/>
      <c r="P6" s="26"/>
      <c r="Q6" s="24"/>
      <c r="R6" s="24"/>
      <c r="S6" s="24"/>
      <c r="T6" s="27"/>
    </row>
    <row r="7">
      <c r="A7" s="3"/>
      <c r="B7" s="18" t="s">
        <v>16</v>
      </c>
      <c r="C7" s="19" t="s">
        <v>17</v>
      </c>
      <c r="D7" s="20"/>
      <c r="E7" s="20"/>
      <c r="F7" s="20"/>
      <c r="G7" s="20"/>
      <c r="H7" s="20"/>
      <c r="I7" s="23"/>
      <c r="J7" s="24"/>
      <c r="K7" s="25"/>
      <c r="P7" s="45"/>
      <c r="Q7" s="46"/>
      <c r="R7" s="46"/>
      <c r="S7" s="46"/>
      <c r="T7" s="47"/>
    </row>
    <row r="8">
      <c r="A8" s="3"/>
      <c r="B8" s="48" t="s">
        <v>18</v>
      </c>
      <c r="C8" s="49">
        <f>sum(C16:C98)</f>
        <v>20</v>
      </c>
      <c r="D8" s="30"/>
      <c r="E8" s="30"/>
      <c r="F8" s="30"/>
      <c r="G8" s="30"/>
      <c r="H8" s="30"/>
      <c r="I8" s="31"/>
      <c r="J8" s="24"/>
      <c r="K8" s="50" t="s">
        <v>19</v>
      </c>
      <c r="L8" s="51" t="b">
        <v>1</v>
      </c>
      <c r="M8" s="52" t="s">
        <v>20</v>
      </c>
      <c r="N8" s="53"/>
      <c r="O8" s="54"/>
      <c r="P8" s="55" t="s">
        <v>21</v>
      </c>
      <c r="Q8" s="56"/>
      <c r="R8" s="56"/>
      <c r="S8" s="56"/>
      <c r="T8" s="57"/>
    </row>
    <row r="9">
      <c r="A9" s="3"/>
      <c r="B9" s="39"/>
      <c r="C9" s="40"/>
      <c r="D9" s="41"/>
      <c r="E9" s="41"/>
      <c r="F9" s="41"/>
      <c r="G9" s="41"/>
      <c r="H9" s="41"/>
      <c r="I9" s="44"/>
      <c r="J9" s="24"/>
      <c r="K9" s="58" t="s">
        <v>22</v>
      </c>
      <c r="L9" s="59" t="b">
        <v>1</v>
      </c>
      <c r="M9" s="60" t="s">
        <v>23</v>
      </c>
      <c r="N9" s="61"/>
      <c r="O9" s="62"/>
      <c r="T9" s="38"/>
    </row>
    <row r="10">
      <c r="A10" s="3"/>
      <c r="B10" s="63" t="s">
        <v>24</v>
      </c>
      <c r="C10" s="64" t="s">
        <v>25</v>
      </c>
      <c r="D10" s="65"/>
      <c r="E10" s="20"/>
      <c r="F10" s="20"/>
      <c r="G10" s="20"/>
      <c r="H10" s="20"/>
      <c r="I10" s="23"/>
      <c r="J10" s="24"/>
      <c r="K10" s="66"/>
      <c r="L10" s="59" t="b">
        <v>0</v>
      </c>
      <c r="M10" s="67"/>
      <c r="N10" s="61"/>
      <c r="O10" s="62"/>
      <c r="T10" s="38"/>
    </row>
    <row r="11">
      <c r="A11" s="3"/>
      <c r="B11" s="68"/>
      <c r="C11" s="69" t="s">
        <v>26</v>
      </c>
      <c r="D11" s="70" t="s">
        <v>27</v>
      </c>
      <c r="E11" s="71"/>
      <c r="F11" s="71"/>
      <c r="G11" s="71"/>
      <c r="H11" s="71"/>
      <c r="I11" s="72"/>
      <c r="J11" s="24"/>
      <c r="K11" s="58" t="s">
        <v>28</v>
      </c>
      <c r="L11" s="59" t="b">
        <v>0</v>
      </c>
      <c r="M11" s="73"/>
      <c r="N11" s="61"/>
      <c r="O11" s="62"/>
      <c r="T11" s="38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74" t="s">
        <v>29</v>
      </c>
      <c r="L12" s="75" t="b">
        <v>0</v>
      </c>
      <c r="M12" s="76"/>
      <c r="N12" s="77"/>
      <c r="O12" s="78"/>
      <c r="P12" s="79"/>
      <c r="Q12" s="79"/>
      <c r="R12" s="79"/>
      <c r="S12" s="79"/>
      <c r="T12" s="80"/>
    </row>
    <row r="13">
      <c r="A13" s="3"/>
      <c r="B13" s="81" t="s">
        <v>30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</row>
    <row r="14">
      <c r="A14" s="3"/>
      <c r="B14" s="82" t="s">
        <v>31</v>
      </c>
      <c r="C14" s="83" t="s">
        <v>32</v>
      </c>
      <c r="D14" s="83" t="s">
        <v>33</v>
      </c>
      <c r="E14" s="83" t="s">
        <v>34</v>
      </c>
      <c r="F14" s="83" t="s">
        <v>35</v>
      </c>
      <c r="G14" s="84" t="s">
        <v>36</v>
      </c>
      <c r="H14" s="22" t="s">
        <v>37</v>
      </c>
      <c r="I14" s="20"/>
      <c r="J14" s="21"/>
      <c r="K14" s="83" t="s">
        <v>38</v>
      </c>
      <c r="L14" s="84" t="s">
        <v>39</v>
      </c>
      <c r="M14" s="24"/>
      <c r="N14" s="24"/>
      <c r="O14" s="24"/>
      <c r="P14" s="24"/>
      <c r="Q14" s="24"/>
      <c r="R14" s="24"/>
      <c r="S14" s="24"/>
      <c r="T14" s="24"/>
    </row>
    <row r="15">
      <c r="A15" s="3"/>
      <c r="B15" s="43"/>
      <c r="C15" s="43"/>
      <c r="D15" s="43"/>
      <c r="E15" s="43"/>
      <c r="F15" s="43"/>
      <c r="G15" s="43"/>
      <c r="H15" s="85" t="s">
        <v>40</v>
      </c>
      <c r="I15" s="85" t="s">
        <v>41</v>
      </c>
      <c r="J15" s="85" t="s">
        <v>42</v>
      </c>
      <c r="K15" s="43"/>
      <c r="L15" s="36"/>
      <c r="M15" s="24"/>
      <c r="N15" s="24"/>
      <c r="O15" s="24"/>
      <c r="P15" s="24"/>
      <c r="Q15" s="24"/>
      <c r="R15" s="24"/>
      <c r="S15" s="24"/>
      <c r="T15" s="24"/>
    </row>
    <row r="16">
      <c r="A16" s="3"/>
      <c r="B16" s="86" t="s">
        <v>43</v>
      </c>
      <c r="C16" s="87">
        <v>1.0</v>
      </c>
      <c r="D16" s="88" t="s">
        <v>44</v>
      </c>
      <c r="E16" s="88" t="s">
        <v>45</v>
      </c>
      <c r="F16" s="89" t="s">
        <v>46</v>
      </c>
      <c r="G16" s="90" t="s">
        <v>47</v>
      </c>
      <c r="H16" s="91" t="s">
        <v>48</v>
      </c>
      <c r="I16" s="92" t="s">
        <v>49</v>
      </c>
      <c r="J16" s="92" t="s">
        <v>49</v>
      </c>
      <c r="K16" s="93" t="s">
        <v>50</v>
      </c>
      <c r="L16" s="13"/>
      <c r="M16" s="24"/>
      <c r="N16" s="24"/>
      <c r="O16" s="24"/>
      <c r="P16" s="24"/>
      <c r="Q16" s="24"/>
      <c r="R16" s="24"/>
      <c r="S16" s="24"/>
      <c r="T16" s="24"/>
    </row>
    <row r="17">
      <c r="A17" s="3"/>
      <c r="B17" s="36"/>
      <c r="C17" s="36"/>
      <c r="D17" s="36"/>
      <c r="E17" s="36"/>
      <c r="F17" s="36"/>
      <c r="G17" s="36"/>
      <c r="H17" s="43"/>
      <c r="I17" s="43"/>
      <c r="J17" s="43"/>
      <c r="K17" s="36"/>
      <c r="L17" s="13"/>
      <c r="M17" s="24"/>
      <c r="N17" s="24"/>
      <c r="O17" s="24"/>
      <c r="P17" s="24"/>
      <c r="Q17" s="24"/>
      <c r="R17" s="24"/>
      <c r="S17" s="24"/>
      <c r="T17" s="24"/>
    </row>
    <row r="18">
      <c r="A18" s="3"/>
      <c r="B18" s="36"/>
      <c r="C18" s="36"/>
      <c r="D18" s="36"/>
      <c r="E18" s="36"/>
      <c r="F18" s="36"/>
      <c r="G18" s="43"/>
      <c r="H18" s="94" t="s">
        <v>51</v>
      </c>
      <c r="I18" s="20"/>
      <c r="J18" s="21"/>
      <c r="K18" s="36"/>
      <c r="L18" s="13"/>
      <c r="M18" s="24"/>
      <c r="N18" s="24"/>
      <c r="O18" s="24"/>
      <c r="P18" s="24"/>
      <c r="Q18" s="24"/>
      <c r="R18" s="24"/>
      <c r="S18" s="24"/>
      <c r="T18" s="24"/>
    </row>
    <row r="19">
      <c r="A19" s="3"/>
      <c r="B19" s="36"/>
      <c r="C19" s="36"/>
      <c r="D19" s="36"/>
      <c r="E19" s="36"/>
      <c r="F19" s="36"/>
      <c r="G19" s="95" t="s">
        <v>52</v>
      </c>
      <c r="H19" s="96" t="s">
        <v>53</v>
      </c>
      <c r="I19" s="20"/>
      <c r="J19" s="21"/>
      <c r="K19" s="36"/>
      <c r="L19" s="97">
        <f t="shared" ref="L19:L21" si="1">LENB(H19)/2</f>
        <v>6</v>
      </c>
      <c r="M19" s="24"/>
      <c r="N19" s="24"/>
      <c r="O19" s="24"/>
      <c r="P19" s="24"/>
      <c r="Q19" s="24"/>
      <c r="R19" s="24"/>
      <c r="S19" s="24"/>
      <c r="T19" s="24"/>
    </row>
    <row r="20">
      <c r="A20" s="3"/>
      <c r="B20" s="36"/>
      <c r="C20" s="36"/>
      <c r="D20" s="36"/>
      <c r="E20" s="36"/>
      <c r="F20" s="36"/>
      <c r="G20" s="95" t="s">
        <v>54</v>
      </c>
      <c r="H20" s="96" t="s">
        <v>55</v>
      </c>
      <c r="I20" s="20"/>
      <c r="J20" s="21"/>
      <c r="K20" s="36"/>
      <c r="L20" s="97">
        <f t="shared" si="1"/>
        <v>6</v>
      </c>
      <c r="M20" s="24"/>
      <c r="N20" s="24"/>
      <c r="O20" s="24"/>
      <c r="P20" s="24"/>
      <c r="Q20" s="24"/>
      <c r="R20" s="24"/>
      <c r="S20" s="24"/>
      <c r="T20" s="24"/>
    </row>
    <row r="21">
      <c r="A21" s="3"/>
      <c r="B21" s="36"/>
      <c r="C21" s="36"/>
      <c r="D21" s="36"/>
      <c r="E21" s="36"/>
      <c r="F21" s="36"/>
      <c r="G21" s="95" t="s">
        <v>56</v>
      </c>
      <c r="H21" s="96" t="s">
        <v>57</v>
      </c>
      <c r="I21" s="20"/>
      <c r="J21" s="21"/>
      <c r="K21" s="36"/>
      <c r="L21" s="97">
        <f t="shared" si="1"/>
        <v>7</v>
      </c>
      <c r="M21" s="24"/>
      <c r="N21" s="24"/>
      <c r="O21" s="24"/>
      <c r="P21" s="24"/>
      <c r="Q21" s="24"/>
      <c r="R21" s="24"/>
      <c r="S21" s="24"/>
      <c r="T21" s="24"/>
    </row>
    <row r="22">
      <c r="A22" s="3"/>
      <c r="B22" s="36"/>
      <c r="C22" s="36"/>
      <c r="D22" s="36"/>
      <c r="E22" s="36"/>
      <c r="F22" s="36"/>
      <c r="G22" s="98" t="s">
        <v>58</v>
      </c>
      <c r="H22" s="99" t="s">
        <v>59</v>
      </c>
      <c r="I22" s="99" t="s">
        <v>60</v>
      </c>
      <c r="J22" s="99" t="s">
        <v>61</v>
      </c>
      <c r="K22" s="36"/>
      <c r="L22" s="100" t="str">
        <f>IF(OR(H22&lt;&gt;"", I22&lt;&gt;"", J22&lt;&gt;""), "OK", "ERR")</f>
        <v>OK</v>
      </c>
      <c r="M22" s="24"/>
      <c r="N22" s="24"/>
      <c r="O22" s="24"/>
      <c r="P22" s="24"/>
      <c r="Q22" s="24"/>
      <c r="R22" s="24"/>
      <c r="S22" s="24"/>
      <c r="T22" s="24"/>
    </row>
    <row r="23">
      <c r="A23" s="3"/>
      <c r="B23" s="36"/>
      <c r="C23" s="36"/>
      <c r="D23" s="36"/>
      <c r="E23" s="36"/>
      <c r="F23" s="36"/>
      <c r="G23" s="43"/>
      <c r="H23" s="94" t="s">
        <v>51</v>
      </c>
      <c r="I23" s="20"/>
      <c r="J23" s="21"/>
      <c r="K23" s="36"/>
      <c r="L23" s="13"/>
      <c r="M23" s="24"/>
      <c r="N23" s="24"/>
      <c r="O23" s="24"/>
      <c r="P23" s="24"/>
      <c r="Q23" s="24"/>
      <c r="R23" s="24"/>
      <c r="S23" s="24"/>
      <c r="T23" s="24"/>
    </row>
    <row r="24">
      <c r="A24" s="3"/>
      <c r="B24" s="43"/>
      <c r="C24" s="43"/>
      <c r="D24" s="43"/>
      <c r="E24" s="43"/>
      <c r="F24" s="43"/>
      <c r="G24" s="95" t="s">
        <v>62</v>
      </c>
      <c r="H24" s="101" t="s">
        <v>51</v>
      </c>
      <c r="I24" s="98" t="s">
        <v>63</v>
      </c>
      <c r="J24" s="102" t="s">
        <v>64</v>
      </c>
      <c r="K24" s="43"/>
      <c r="L24" s="13"/>
      <c r="M24" s="24"/>
      <c r="N24" s="24"/>
      <c r="O24" s="24"/>
      <c r="P24" s="24"/>
      <c r="Q24" s="24"/>
      <c r="R24" s="24"/>
      <c r="S24" s="24"/>
      <c r="T24" s="24"/>
    </row>
    <row r="25">
      <c r="A25" s="3"/>
      <c r="B25" s="86" t="s">
        <v>65</v>
      </c>
      <c r="C25" s="87">
        <v>1.0</v>
      </c>
      <c r="D25" s="88" t="s">
        <v>66</v>
      </c>
      <c r="E25" s="88" t="s">
        <v>67</v>
      </c>
      <c r="F25" s="89" t="s">
        <v>46</v>
      </c>
      <c r="G25" s="90" t="s">
        <v>47</v>
      </c>
      <c r="H25" s="103" t="s">
        <v>49</v>
      </c>
      <c r="I25" s="103" t="s">
        <v>49</v>
      </c>
      <c r="J25" s="103" t="s">
        <v>49</v>
      </c>
      <c r="K25" s="93" t="s">
        <v>50</v>
      </c>
      <c r="L25" s="13"/>
      <c r="M25" s="24"/>
      <c r="N25" s="24"/>
      <c r="O25" s="24"/>
      <c r="P25" s="24"/>
      <c r="Q25" s="24"/>
      <c r="R25" s="24"/>
      <c r="S25" s="24"/>
      <c r="T25" s="24"/>
    </row>
    <row r="26">
      <c r="A26" s="3"/>
      <c r="B26" s="36"/>
      <c r="C26" s="36"/>
      <c r="D26" s="36"/>
      <c r="E26" s="36"/>
      <c r="F26" s="36"/>
      <c r="G26" s="36"/>
      <c r="H26" s="43"/>
      <c r="I26" s="43"/>
      <c r="J26" s="43"/>
      <c r="K26" s="36"/>
      <c r="L26" s="13"/>
      <c r="M26" s="24"/>
      <c r="N26" s="24"/>
      <c r="O26" s="24"/>
      <c r="P26" s="24"/>
      <c r="Q26" s="24"/>
      <c r="R26" s="24"/>
      <c r="S26" s="24"/>
      <c r="T26" s="24"/>
    </row>
    <row r="27">
      <c r="A27" s="3"/>
      <c r="B27" s="36"/>
      <c r="C27" s="36"/>
      <c r="D27" s="36"/>
      <c r="E27" s="36"/>
      <c r="F27" s="36"/>
      <c r="G27" s="43"/>
      <c r="H27" s="94" t="s">
        <v>51</v>
      </c>
      <c r="I27" s="20"/>
      <c r="J27" s="21"/>
      <c r="K27" s="36"/>
      <c r="L27" s="13"/>
      <c r="M27" s="24"/>
      <c r="N27" s="24"/>
      <c r="O27" s="24"/>
      <c r="P27" s="24"/>
      <c r="Q27" s="24"/>
      <c r="R27" s="24"/>
      <c r="S27" s="24"/>
      <c r="T27" s="24"/>
    </row>
    <row r="28">
      <c r="A28" s="3"/>
      <c r="B28" s="36"/>
      <c r="C28" s="36"/>
      <c r="D28" s="36"/>
      <c r="E28" s="36"/>
      <c r="F28" s="36"/>
      <c r="G28" s="95" t="s">
        <v>52</v>
      </c>
      <c r="H28" s="96" t="s">
        <v>68</v>
      </c>
      <c r="I28" s="20"/>
      <c r="J28" s="21"/>
      <c r="K28" s="36"/>
      <c r="L28" s="97">
        <f t="shared" ref="L28:L30" si="2">LENB(H28)/2</f>
        <v>8</v>
      </c>
      <c r="M28" s="24"/>
      <c r="N28" s="24"/>
      <c r="O28" s="24"/>
      <c r="P28" s="24"/>
      <c r="Q28" s="24"/>
      <c r="R28" s="24"/>
      <c r="S28" s="24"/>
      <c r="T28" s="24"/>
    </row>
    <row r="29">
      <c r="A29" s="3"/>
      <c r="B29" s="36"/>
      <c r="C29" s="36"/>
      <c r="D29" s="36"/>
      <c r="E29" s="36"/>
      <c r="F29" s="36"/>
      <c r="G29" s="95" t="s">
        <v>54</v>
      </c>
      <c r="H29" s="96" t="s">
        <v>69</v>
      </c>
      <c r="I29" s="20"/>
      <c r="J29" s="21"/>
      <c r="K29" s="36"/>
      <c r="L29" s="97">
        <f t="shared" si="2"/>
        <v>7</v>
      </c>
      <c r="M29" s="24"/>
      <c r="N29" s="24"/>
      <c r="O29" s="24"/>
      <c r="P29" s="24"/>
      <c r="Q29" s="24"/>
      <c r="R29" s="24"/>
      <c r="S29" s="24"/>
      <c r="T29" s="24"/>
    </row>
    <row r="30">
      <c r="A30" s="3"/>
      <c r="B30" s="36"/>
      <c r="C30" s="36"/>
      <c r="D30" s="36"/>
      <c r="E30" s="36"/>
      <c r="F30" s="36"/>
      <c r="G30" s="95" t="s">
        <v>56</v>
      </c>
      <c r="H30" s="96" t="s">
        <v>57</v>
      </c>
      <c r="I30" s="20"/>
      <c r="J30" s="21"/>
      <c r="K30" s="36"/>
      <c r="L30" s="97">
        <f t="shared" si="2"/>
        <v>7</v>
      </c>
      <c r="M30" s="24"/>
      <c r="N30" s="24"/>
      <c r="O30" s="24"/>
      <c r="P30" s="24"/>
      <c r="Q30" s="24"/>
      <c r="R30" s="24"/>
      <c r="S30" s="24"/>
      <c r="T30" s="24"/>
    </row>
    <row r="31">
      <c r="A31" s="3"/>
      <c r="B31" s="36"/>
      <c r="C31" s="36"/>
      <c r="D31" s="36"/>
      <c r="E31" s="36"/>
      <c r="F31" s="36"/>
      <c r="G31" s="98" t="s">
        <v>58</v>
      </c>
      <c r="H31" s="104"/>
      <c r="I31" s="104"/>
      <c r="J31" s="104"/>
      <c r="K31" s="36"/>
      <c r="L31" s="100" t="str">
        <f>IF(OR(H31&lt;&gt;"", I31&lt;&gt;"", J31&lt;&gt;""), "OK", "ERR")</f>
        <v>ERR</v>
      </c>
      <c r="M31" s="24"/>
      <c r="N31" s="24"/>
      <c r="O31" s="24"/>
      <c r="P31" s="24"/>
      <c r="Q31" s="24"/>
      <c r="R31" s="24"/>
      <c r="S31" s="24"/>
      <c r="T31" s="24"/>
    </row>
    <row r="32">
      <c r="A32" s="3"/>
      <c r="B32" s="36"/>
      <c r="C32" s="36"/>
      <c r="D32" s="36"/>
      <c r="E32" s="36"/>
      <c r="F32" s="36"/>
      <c r="G32" s="43"/>
      <c r="H32" s="94" t="s">
        <v>51</v>
      </c>
      <c r="I32" s="20"/>
      <c r="J32" s="21"/>
      <c r="K32" s="36"/>
      <c r="L32" s="13"/>
      <c r="M32" s="24"/>
      <c r="N32" s="24"/>
      <c r="O32" s="24"/>
      <c r="P32" s="24"/>
      <c r="Q32" s="24"/>
      <c r="R32" s="24"/>
      <c r="S32" s="24"/>
      <c r="T32" s="24"/>
    </row>
    <row r="33">
      <c r="A33" s="3"/>
      <c r="B33" s="43"/>
      <c r="C33" s="43"/>
      <c r="D33" s="43"/>
      <c r="E33" s="43"/>
      <c r="F33" s="43"/>
      <c r="G33" s="95" t="s">
        <v>62</v>
      </c>
      <c r="H33" s="101" t="s">
        <v>51</v>
      </c>
      <c r="I33" s="98" t="s">
        <v>63</v>
      </c>
      <c r="J33" s="102" t="s">
        <v>64</v>
      </c>
      <c r="K33" s="43"/>
      <c r="L33" s="13"/>
      <c r="M33" s="24"/>
      <c r="N33" s="24"/>
      <c r="O33" s="24"/>
      <c r="P33" s="24"/>
      <c r="Q33" s="24"/>
      <c r="R33" s="24"/>
      <c r="S33" s="24"/>
      <c r="T33" s="24"/>
    </row>
    <row r="34">
      <c r="A34" s="3"/>
      <c r="B34" s="105" t="s">
        <v>70</v>
      </c>
      <c r="C34" s="106">
        <v>1.0</v>
      </c>
      <c r="D34" s="88" t="s">
        <v>66</v>
      </c>
      <c r="E34" s="88" t="s">
        <v>67</v>
      </c>
      <c r="F34" s="88" t="s">
        <v>46</v>
      </c>
      <c r="G34" s="107" t="s">
        <v>71</v>
      </c>
      <c r="H34" s="30"/>
      <c r="I34" s="30"/>
      <c r="J34" s="30"/>
      <c r="K34" s="35"/>
      <c r="L34" s="13"/>
      <c r="M34" s="24"/>
      <c r="N34" s="24"/>
      <c r="O34" s="24"/>
      <c r="P34" s="24"/>
      <c r="Q34" s="24"/>
      <c r="R34" s="24"/>
      <c r="S34" s="24"/>
      <c r="T34" s="24"/>
    </row>
    <row r="35">
      <c r="A35" s="3"/>
      <c r="B35" s="43"/>
      <c r="C35" s="43"/>
      <c r="D35" s="43"/>
      <c r="E35" s="43"/>
      <c r="F35" s="43"/>
      <c r="G35" s="40"/>
      <c r="H35" s="41"/>
      <c r="I35" s="41"/>
      <c r="J35" s="41"/>
      <c r="K35" s="42"/>
      <c r="L35" s="13"/>
      <c r="M35" s="24"/>
      <c r="N35" s="24"/>
      <c r="O35" s="24"/>
      <c r="P35" s="24"/>
      <c r="Q35" s="24"/>
      <c r="R35" s="24"/>
      <c r="S35" s="24"/>
      <c r="T35" s="24"/>
    </row>
    <row r="36">
      <c r="A36" s="3"/>
      <c r="B36" s="105" t="s">
        <v>72</v>
      </c>
      <c r="C36" s="106">
        <v>1.0</v>
      </c>
      <c r="D36" s="88" t="s">
        <v>66</v>
      </c>
      <c r="E36" s="88" t="s">
        <v>67</v>
      </c>
      <c r="F36" s="88" t="s">
        <v>46</v>
      </c>
      <c r="G36" s="107" t="s">
        <v>71</v>
      </c>
      <c r="H36" s="30"/>
      <c r="I36" s="30"/>
      <c r="J36" s="30"/>
      <c r="K36" s="35"/>
      <c r="L36" s="13"/>
      <c r="M36" s="24"/>
      <c r="N36" s="24"/>
      <c r="O36" s="24"/>
      <c r="P36" s="24"/>
      <c r="Q36" s="24"/>
      <c r="R36" s="24"/>
      <c r="S36" s="24"/>
      <c r="T36" s="24"/>
    </row>
    <row r="37">
      <c r="A37" s="3"/>
      <c r="B37" s="43"/>
      <c r="C37" s="43"/>
      <c r="D37" s="43"/>
      <c r="E37" s="43"/>
      <c r="F37" s="43"/>
      <c r="G37" s="40"/>
      <c r="H37" s="41"/>
      <c r="I37" s="41"/>
      <c r="J37" s="41"/>
      <c r="K37" s="42"/>
      <c r="L37" s="13"/>
      <c r="M37" s="24"/>
      <c r="N37" s="24"/>
      <c r="O37" s="24"/>
      <c r="P37" s="24"/>
      <c r="Q37" s="24"/>
      <c r="R37" s="24"/>
      <c r="S37" s="24"/>
      <c r="T37" s="24"/>
    </row>
    <row r="38">
      <c r="A38" s="3"/>
      <c r="B38" s="105" t="s">
        <v>73</v>
      </c>
      <c r="C38" s="106">
        <v>1.0</v>
      </c>
      <c r="D38" s="88" t="s">
        <v>74</v>
      </c>
      <c r="E38" s="88" t="s">
        <v>75</v>
      </c>
      <c r="F38" s="88" t="s">
        <v>46</v>
      </c>
      <c r="G38" s="95" t="s">
        <v>76</v>
      </c>
      <c r="H38" s="108" t="s">
        <v>77</v>
      </c>
      <c r="I38" s="20"/>
      <c r="J38" s="20"/>
      <c r="K38" s="21"/>
      <c r="L38" s="13"/>
      <c r="M38" s="24"/>
      <c r="N38" s="24"/>
      <c r="O38" s="24"/>
      <c r="P38" s="24"/>
      <c r="Q38" s="24"/>
      <c r="R38" s="24"/>
      <c r="S38" s="24"/>
      <c r="T38" s="24"/>
    </row>
    <row r="39">
      <c r="A39" s="3"/>
      <c r="B39" s="43"/>
      <c r="C39" s="43"/>
      <c r="D39" s="43"/>
      <c r="E39" s="43"/>
      <c r="F39" s="43"/>
      <c r="G39" s="109" t="s">
        <v>78</v>
      </c>
      <c r="H39" s="94" t="s">
        <v>79</v>
      </c>
      <c r="I39" s="20"/>
      <c r="J39" s="20"/>
      <c r="K39" s="21"/>
      <c r="L39" s="13"/>
      <c r="M39" s="24"/>
      <c r="N39" s="24"/>
      <c r="O39" s="24"/>
      <c r="P39" s="24"/>
      <c r="Q39" s="24"/>
      <c r="R39" s="24"/>
      <c r="S39" s="24"/>
      <c r="T39" s="24"/>
    </row>
    <row r="40">
      <c r="A40" s="3"/>
      <c r="B40" s="105" t="s">
        <v>80</v>
      </c>
      <c r="C40" s="106">
        <v>1.0</v>
      </c>
      <c r="D40" s="88" t="s">
        <v>74</v>
      </c>
      <c r="E40" s="88" t="s">
        <v>81</v>
      </c>
      <c r="F40" s="88" t="s">
        <v>46</v>
      </c>
      <c r="G40" s="107" t="s">
        <v>71</v>
      </c>
      <c r="H40" s="30"/>
      <c r="I40" s="30"/>
      <c r="J40" s="35"/>
      <c r="K40" s="88" t="s">
        <v>74</v>
      </c>
      <c r="L40" s="13"/>
      <c r="M40" s="24"/>
      <c r="N40" s="24"/>
      <c r="O40" s="24"/>
      <c r="P40" s="24"/>
      <c r="Q40" s="24"/>
      <c r="R40" s="24"/>
      <c r="S40" s="24"/>
      <c r="T40" s="24"/>
    </row>
    <row r="41">
      <c r="A41" s="3"/>
      <c r="B41" s="43"/>
      <c r="C41" s="43"/>
      <c r="D41" s="43"/>
      <c r="E41" s="43"/>
      <c r="F41" s="43"/>
      <c r="G41" s="40"/>
      <c r="H41" s="41"/>
      <c r="I41" s="41"/>
      <c r="J41" s="42"/>
      <c r="K41" s="43"/>
      <c r="L41" s="13"/>
      <c r="M41" s="24"/>
      <c r="N41" s="24"/>
      <c r="O41" s="24"/>
      <c r="P41" s="24"/>
      <c r="Q41" s="24"/>
      <c r="R41" s="24"/>
      <c r="S41" s="24"/>
      <c r="T41" s="24"/>
    </row>
    <row r="42">
      <c r="A42" s="3"/>
      <c r="B42" s="105" t="s">
        <v>82</v>
      </c>
      <c r="C42" s="106">
        <v>1.0</v>
      </c>
      <c r="D42" s="110" t="s">
        <v>83</v>
      </c>
      <c r="E42" s="110" t="s">
        <v>84</v>
      </c>
      <c r="F42" s="110" t="s">
        <v>46</v>
      </c>
      <c r="G42" s="107" t="s">
        <v>71</v>
      </c>
      <c r="H42" s="30"/>
      <c r="I42" s="30"/>
      <c r="J42" s="30"/>
      <c r="K42" s="35"/>
      <c r="L42" s="13"/>
      <c r="M42" s="24"/>
      <c r="N42" s="24"/>
      <c r="O42" s="24"/>
      <c r="P42" s="24"/>
      <c r="Q42" s="24"/>
      <c r="R42" s="24"/>
      <c r="S42" s="24"/>
      <c r="T42" s="24"/>
    </row>
    <row r="43">
      <c r="A43" s="3"/>
      <c r="B43" s="43"/>
      <c r="C43" s="43"/>
      <c r="D43" s="43"/>
      <c r="E43" s="43"/>
      <c r="F43" s="43"/>
      <c r="G43" s="40"/>
      <c r="H43" s="41"/>
      <c r="I43" s="41"/>
      <c r="J43" s="41"/>
      <c r="K43" s="42"/>
      <c r="L43" s="13"/>
      <c r="M43" s="24"/>
      <c r="N43" s="24"/>
      <c r="O43" s="24"/>
      <c r="P43" s="24"/>
      <c r="Q43" s="24"/>
      <c r="R43" s="24"/>
      <c r="S43" s="24"/>
      <c r="T43" s="24"/>
    </row>
    <row r="44">
      <c r="A44" s="3"/>
      <c r="B44" s="105" t="s">
        <v>85</v>
      </c>
      <c r="C44" s="106">
        <v>1.0</v>
      </c>
      <c r="D44" s="88" t="s">
        <v>74</v>
      </c>
      <c r="E44" s="88" t="s">
        <v>86</v>
      </c>
      <c r="F44" s="88" t="s">
        <v>46</v>
      </c>
      <c r="G44" s="98" t="s">
        <v>87</v>
      </c>
      <c r="H44" s="111" t="b">
        <v>1</v>
      </c>
      <c r="I44" s="112" t="s">
        <v>88</v>
      </c>
      <c r="J44" s="20"/>
      <c r="K44" s="21"/>
      <c r="L44" s="97">
        <f>LENB(I44)/2</f>
        <v>3.5</v>
      </c>
      <c r="M44" s="24"/>
      <c r="N44" s="24"/>
      <c r="O44" s="24"/>
      <c r="P44" s="24"/>
      <c r="Q44" s="24"/>
      <c r="R44" s="24"/>
      <c r="S44" s="24"/>
      <c r="T44" s="24"/>
    </row>
    <row r="45">
      <c r="A45" s="3"/>
      <c r="B45" s="43"/>
      <c r="C45" s="43"/>
      <c r="D45" s="43"/>
      <c r="E45" s="43"/>
      <c r="F45" s="43"/>
      <c r="G45" s="43"/>
      <c r="H45" s="111" t="b">
        <v>0</v>
      </c>
      <c r="I45" s="112" t="s">
        <v>77</v>
      </c>
      <c r="J45" s="20"/>
      <c r="K45" s="21"/>
      <c r="L45" s="13"/>
      <c r="M45" s="24"/>
      <c r="N45" s="24"/>
      <c r="O45" s="24"/>
      <c r="P45" s="24"/>
      <c r="Q45" s="24"/>
      <c r="R45" s="24"/>
      <c r="S45" s="24"/>
      <c r="T45" s="24"/>
    </row>
    <row r="46">
      <c r="A46" s="3"/>
      <c r="B46" s="113" t="s">
        <v>89</v>
      </c>
      <c r="C46" s="114">
        <v>2.0</v>
      </c>
      <c r="D46" s="88" t="s">
        <v>74</v>
      </c>
      <c r="E46" s="88" t="s">
        <v>90</v>
      </c>
      <c r="F46" s="88" t="s">
        <v>46</v>
      </c>
      <c r="G46" s="107" t="s">
        <v>91</v>
      </c>
      <c r="H46" s="30"/>
      <c r="I46" s="30"/>
      <c r="J46" s="30"/>
      <c r="K46" s="35"/>
      <c r="L46" s="13"/>
      <c r="M46" s="24"/>
      <c r="N46" s="24"/>
      <c r="O46" s="24"/>
      <c r="P46" s="24"/>
      <c r="Q46" s="24"/>
      <c r="R46" s="24"/>
      <c r="S46" s="24"/>
      <c r="T46" s="24"/>
    </row>
    <row r="47">
      <c r="A47" s="3"/>
      <c r="B47" s="43"/>
      <c r="C47" s="43"/>
      <c r="D47" s="43"/>
      <c r="E47" s="43"/>
      <c r="F47" s="43"/>
      <c r="G47" s="40"/>
      <c r="H47" s="41"/>
      <c r="I47" s="41"/>
      <c r="J47" s="41"/>
      <c r="K47" s="42"/>
      <c r="L47" s="13"/>
      <c r="M47" s="24"/>
      <c r="N47" s="24"/>
      <c r="O47" s="24"/>
      <c r="P47" s="24"/>
      <c r="Q47" s="24"/>
      <c r="R47" s="24"/>
      <c r="S47" s="24"/>
      <c r="T47" s="24"/>
    </row>
    <row r="48">
      <c r="A48" s="3"/>
      <c r="B48" s="115" t="s">
        <v>92</v>
      </c>
      <c r="C48" s="116">
        <v>1.0</v>
      </c>
      <c r="D48" s="111" t="s">
        <v>74</v>
      </c>
      <c r="E48" s="111" t="s">
        <v>90</v>
      </c>
      <c r="F48" s="111" t="s">
        <v>46</v>
      </c>
      <c r="G48" s="19" t="s">
        <v>91</v>
      </c>
      <c r="H48" s="20"/>
      <c r="I48" s="20"/>
      <c r="J48" s="20"/>
      <c r="K48" s="21"/>
      <c r="L48" s="13"/>
      <c r="M48" s="24"/>
      <c r="N48" s="24"/>
      <c r="O48" s="24"/>
      <c r="P48" s="24"/>
      <c r="Q48" s="24"/>
      <c r="R48" s="24"/>
      <c r="S48" s="24"/>
      <c r="T48" s="24"/>
    </row>
    <row r="49">
      <c r="A49" s="3"/>
      <c r="B49" s="115" t="s">
        <v>93</v>
      </c>
      <c r="C49" s="116">
        <v>1.0</v>
      </c>
      <c r="D49" s="111" t="s">
        <v>74</v>
      </c>
      <c r="E49" s="111" t="s">
        <v>90</v>
      </c>
      <c r="F49" s="111" t="s">
        <v>46</v>
      </c>
      <c r="G49" s="19" t="s">
        <v>91</v>
      </c>
      <c r="H49" s="20"/>
      <c r="I49" s="20"/>
      <c r="J49" s="20"/>
      <c r="K49" s="21"/>
      <c r="L49" s="13"/>
      <c r="M49" s="24"/>
      <c r="N49" s="24"/>
      <c r="O49" s="24"/>
      <c r="P49" s="24"/>
      <c r="Q49" s="24"/>
      <c r="R49" s="24"/>
      <c r="S49" s="24"/>
      <c r="T49" s="24"/>
    </row>
    <row r="50">
      <c r="A50" s="3"/>
      <c r="B50" s="115" t="s">
        <v>94</v>
      </c>
      <c r="C50" s="116">
        <v>1.0</v>
      </c>
      <c r="D50" s="111" t="s">
        <v>74</v>
      </c>
      <c r="E50" s="111" t="s">
        <v>90</v>
      </c>
      <c r="F50" s="111" t="s">
        <v>46</v>
      </c>
      <c r="G50" s="19" t="s">
        <v>91</v>
      </c>
      <c r="H50" s="20"/>
      <c r="I50" s="20"/>
      <c r="J50" s="20"/>
      <c r="K50" s="21"/>
      <c r="L50" s="13"/>
      <c r="M50" s="24"/>
      <c r="N50" s="24"/>
      <c r="O50" s="24"/>
      <c r="P50" s="24"/>
      <c r="Q50" s="24"/>
      <c r="R50" s="24"/>
      <c r="S50" s="24"/>
      <c r="T50" s="24"/>
    </row>
    <row r="51">
      <c r="A51" s="3"/>
      <c r="B51" s="115" t="s">
        <v>95</v>
      </c>
      <c r="C51" s="116">
        <v>1.0</v>
      </c>
      <c r="D51" s="111" t="s">
        <v>74</v>
      </c>
      <c r="E51" s="111" t="s">
        <v>90</v>
      </c>
      <c r="F51" s="111" t="s">
        <v>46</v>
      </c>
      <c r="G51" s="19" t="s">
        <v>91</v>
      </c>
      <c r="H51" s="20"/>
      <c r="I51" s="20"/>
      <c r="J51" s="20"/>
      <c r="K51" s="21"/>
      <c r="L51" s="13"/>
      <c r="M51" s="24"/>
      <c r="N51" s="24"/>
      <c r="O51" s="24"/>
      <c r="P51" s="24"/>
      <c r="Q51" s="24"/>
      <c r="R51" s="24"/>
      <c r="S51" s="24"/>
      <c r="T51" s="24"/>
    </row>
    <row r="52">
      <c r="A52" s="3"/>
      <c r="B52" s="115" t="s">
        <v>96</v>
      </c>
      <c r="C52" s="116">
        <v>1.0</v>
      </c>
      <c r="D52" s="111" t="s">
        <v>74</v>
      </c>
      <c r="E52" s="111" t="s">
        <v>90</v>
      </c>
      <c r="F52" s="111" t="s">
        <v>46</v>
      </c>
      <c r="G52" s="19" t="s">
        <v>91</v>
      </c>
      <c r="H52" s="20"/>
      <c r="I52" s="20"/>
      <c r="J52" s="20"/>
      <c r="K52" s="21"/>
      <c r="L52" s="13"/>
      <c r="M52" s="24"/>
      <c r="N52" s="24"/>
      <c r="O52" s="24"/>
      <c r="P52" s="24"/>
      <c r="Q52" s="24"/>
      <c r="R52" s="24"/>
      <c r="S52" s="24"/>
      <c r="T52" s="24"/>
    </row>
    <row r="53">
      <c r="A53" s="3"/>
      <c r="B53" s="115" t="s">
        <v>97</v>
      </c>
      <c r="C53" s="116">
        <v>1.0</v>
      </c>
      <c r="D53" s="111" t="s">
        <v>74</v>
      </c>
      <c r="E53" s="111" t="s">
        <v>90</v>
      </c>
      <c r="F53" s="111" t="s">
        <v>46</v>
      </c>
      <c r="G53" s="19" t="s">
        <v>91</v>
      </c>
      <c r="H53" s="20"/>
      <c r="I53" s="20"/>
      <c r="J53" s="20"/>
      <c r="K53" s="21"/>
      <c r="L53" s="13"/>
      <c r="M53" s="24"/>
      <c r="N53" s="24"/>
      <c r="O53" s="24"/>
      <c r="P53" s="24"/>
      <c r="Q53" s="24"/>
      <c r="R53" s="24"/>
      <c r="S53" s="24"/>
      <c r="T53" s="24"/>
    </row>
    <row r="54">
      <c r="A54" s="3"/>
      <c r="B54" s="115" t="s">
        <v>98</v>
      </c>
      <c r="C54" s="116">
        <v>1.0</v>
      </c>
      <c r="D54" s="111" t="s">
        <v>74</v>
      </c>
      <c r="E54" s="111" t="s">
        <v>90</v>
      </c>
      <c r="F54" s="111" t="s">
        <v>46</v>
      </c>
      <c r="G54" s="19" t="s">
        <v>91</v>
      </c>
      <c r="H54" s="20"/>
      <c r="I54" s="20"/>
      <c r="J54" s="20"/>
      <c r="K54" s="21"/>
      <c r="L54" s="13"/>
      <c r="M54" s="24"/>
      <c r="N54" s="24"/>
      <c r="O54" s="24"/>
      <c r="P54" s="24"/>
      <c r="Q54" s="24"/>
      <c r="R54" s="24"/>
      <c r="S54" s="24"/>
      <c r="T54" s="24"/>
    </row>
    <row r="55">
      <c r="A55" s="3"/>
      <c r="B55" s="115" t="s">
        <v>99</v>
      </c>
      <c r="C55" s="116">
        <v>1.0</v>
      </c>
      <c r="D55" s="111" t="s">
        <v>74</v>
      </c>
      <c r="E55" s="111" t="s">
        <v>90</v>
      </c>
      <c r="F55" s="111" t="s">
        <v>46</v>
      </c>
      <c r="G55" s="19" t="s">
        <v>91</v>
      </c>
      <c r="H55" s="20"/>
      <c r="I55" s="20"/>
      <c r="J55" s="20"/>
      <c r="K55" s="21"/>
      <c r="L55" s="13"/>
      <c r="M55" s="24"/>
      <c r="N55" s="24"/>
      <c r="O55" s="24"/>
      <c r="P55" s="24"/>
      <c r="Q55" s="24"/>
      <c r="R55" s="24"/>
      <c r="S55" s="24"/>
      <c r="T55" s="24"/>
    </row>
    <row r="56">
      <c r="A56" s="3"/>
      <c r="B56" s="115" t="s">
        <v>100</v>
      </c>
      <c r="C56" s="116">
        <v>1.0</v>
      </c>
      <c r="D56" s="111" t="s">
        <v>74</v>
      </c>
      <c r="E56" s="111" t="s">
        <v>90</v>
      </c>
      <c r="F56" s="111" t="s">
        <v>46</v>
      </c>
      <c r="G56" s="19" t="s">
        <v>91</v>
      </c>
      <c r="H56" s="20"/>
      <c r="I56" s="20"/>
      <c r="J56" s="20"/>
      <c r="K56" s="21"/>
      <c r="L56" s="13"/>
      <c r="M56" s="24"/>
      <c r="N56" s="24"/>
      <c r="O56" s="24"/>
      <c r="P56" s="24"/>
      <c r="Q56" s="24"/>
      <c r="R56" s="24"/>
      <c r="S56" s="24"/>
      <c r="T56" s="24"/>
    </row>
    <row r="57">
      <c r="A57" s="3"/>
      <c r="B57" s="115" t="s">
        <v>101</v>
      </c>
      <c r="C57" s="116">
        <v>1.0</v>
      </c>
      <c r="D57" s="111" t="s">
        <v>74</v>
      </c>
      <c r="E57" s="111" t="s">
        <v>90</v>
      </c>
      <c r="F57" s="111" t="s">
        <v>46</v>
      </c>
      <c r="G57" s="19" t="s">
        <v>91</v>
      </c>
      <c r="H57" s="20"/>
      <c r="I57" s="20"/>
      <c r="J57" s="20"/>
      <c r="K57" s="21"/>
      <c r="L57" s="13"/>
      <c r="M57" s="24"/>
      <c r="N57" s="24"/>
      <c r="O57" s="24"/>
      <c r="P57" s="24"/>
      <c r="Q57" s="24"/>
      <c r="R57" s="24"/>
      <c r="S57" s="24"/>
      <c r="T57" s="24"/>
    </row>
    <row r="58">
      <c r="A58" s="3"/>
      <c r="B58" s="24"/>
      <c r="C58" s="117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</row>
    <row r="59">
      <c r="A59" s="3"/>
      <c r="B59" s="24"/>
      <c r="C59" s="117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</row>
    <row r="60">
      <c r="A60" s="3"/>
      <c r="B60" s="24"/>
      <c r="C60" s="117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</row>
    <row r="61">
      <c r="A61" s="3"/>
      <c r="B61" s="24"/>
      <c r="C61" s="117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</row>
    <row r="62">
      <c r="A62" s="3"/>
      <c r="B62" s="24"/>
      <c r="C62" s="117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</row>
    <row r="63">
      <c r="A63" s="3"/>
      <c r="B63" s="24"/>
      <c r="C63" s="117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</row>
    <row r="64">
      <c r="A64" s="3"/>
      <c r="B64" s="24"/>
      <c r="C64" s="117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</row>
    <row r="65">
      <c r="A65" s="3"/>
      <c r="B65" s="24"/>
      <c r="C65" s="117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</row>
    <row r="66">
      <c r="A66" s="3"/>
      <c r="B66" s="24"/>
      <c r="C66" s="117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</row>
    <row r="67">
      <c r="A67" s="3"/>
      <c r="B67" s="24"/>
      <c r="C67" s="117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</row>
    <row r="68">
      <c r="A68" s="3"/>
      <c r="B68" s="24"/>
      <c r="C68" s="117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</row>
    <row r="69">
      <c r="A69" s="3"/>
      <c r="B69" s="24"/>
      <c r="C69" s="117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</row>
    <row r="70">
      <c r="A70" s="3"/>
      <c r="B70" s="24"/>
      <c r="C70" s="117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</row>
    <row r="71">
      <c r="A71" s="3"/>
      <c r="B71" s="24"/>
      <c r="C71" s="117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</row>
    <row r="72">
      <c r="A72" s="3"/>
      <c r="B72" s="24"/>
      <c r="C72" s="117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</row>
    <row r="73">
      <c r="A73" s="3"/>
      <c r="B73" s="24"/>
      <c r="C73" s="117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</row>
    <row r="74">
      <c r="A74" s="3"/>
      <c r="B74" s="24"/>
      <c r="C74" s="117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</row>
    <row r="75">
      <c r="A75" s="3"/>
      <c r="B75" s="24"/>
      <c r="C75" s="117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</row>
    <row r="76">
      <c r="A76" s="3"/>
      <c r="B76" s="24"/>
      <c r="C76" s="117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</row>
    <row r="77">
      <c r="A77" s="3"/>
      <c r="B77" s="24"/>
      <c r="C77" s="117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</row>
    <row r="78">
      <c r="A78" s="3"/>
      <c r="B78" s="24"/>
      <c r="C78" s="117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</row>
    <row r="79">
      <c r="A79" s="3"/>
      <c r="B79" s="24"/>
      <c r="C79" s="117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</row>
    <row r="80">
      <c r="A80" s="3"/>
      <c r="B80" s="24"/>
      <c r="C80" s="117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</row>
    <row r="81">
      <c r="A81" s="3"/>
      <c r="B81" s="24"/>
      <c r="C81" s="117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</row>
    <row r="82">
      <c r="A82" s="3"/>
      <c r="B82" s="24"/>
      <c r="C82" s="117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</row>
    <row r="83">
      <c r="A83" s="3"/>
      <c r="B83" s="24"/>
      <c r="C83" s="117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</row>
    <row r="84">
      <c r="A84" s="3"/>
      <c r="B84" s="24"/>
      <c r="C84" s="117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</row>
    <row r="85">
      <c r="A85" s="3"/>
      <c r="B85" s="24"/>
      <c r="C85" s="117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</row>
    <row r="86">
      <c r="A86" s="3"/>
      <c r="B86" s="24"/>
      <c r="C86" s="117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</row>
    <row r="87">
      <c r="A87" s="3"/>
      <c r="B87" s="24"/>
      <c r="C87" s="117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</row>
    <row r="88">
      <c r="A88" s="3"/>
      <c r="B88" s="24"/>
      <c r="C88" s="117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</row>
    <row r="89">
      <c r="A89" s="3"/>
      <c r="B89" s="24"/>
      <c r="C89" s="117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</row>
    <row r="90">
      <c r="A90" s="3"/>
      <c r="B90" s="24"/>
      <c r="C90" s="117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</row>
    <row r="91">
      <c r="A91" s="3"/>
      <c r="B91" s="24"/>
      <c r="C91" s="117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</row>
    <row r="92">
      <c r="A92" s="3"/>
      <c r="B92" s="24"/>
      <c r="C92" s="117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</row>
    <row r="93">
      <c r="A93" s="3"/>
      <c r="B93" s="24"/>
      <c r="C93" s="117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</row>
    <row r="94">
      <c r="A94" s="3"/>
      <c r="B94" s="24"/>
      <c r="C94" s="117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</row>
    <row r="95">
      <c r="A95" s="3"/>
      <c r="B95" s="24"/>
      <c r="C95" s="117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</row>
    <row r="96">
      <c r="A96" s="3"/>
      <c r="B96" s="24"/>
      <c r="C96" s="117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</row>
    <row r="97">
      <c r="A97" s="3"/>
      <c r="B97" s="24"/>
      <c r="C97" s="117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</row>
    <row r="98">
      <c r="A98" s="3"/>
      <c r="B98" s="24"/>
      <c r="C98" s="117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</row>
    <row r="99">
      <c r="A99" s="3"/>
      <c r="B99" s="24"/>
      <c r="C99" s="117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</row>
    <row r="100">
      <c r="A100" s="3"/>
      <c r="B100" s="24"/>
      <c r="C100" s="117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</row>
    <row r="101">
      <c r="A101" s="3"/>
      <c r="B101" s="24"/>
      <c r="C101" s="117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</row>
    <row r="102">
      <c r="A102" s="3"/>
      <c r="B102" s="24"/>
      <c r="C102" s="117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</row>
    <row r="103">
      <c r="A103" s="3"/>
      <c r="B103" s="24"/>
      <c r="C103" s="117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</row>
    <row r="104">
      <c r="A104" s="3"/>
      <c r="B104" s="24"/>
      <c r="C104" s="117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</row>
    <row r="105">
      <c r="A105" s="3"/>
      <c r="B105" s="24"/>
      <c r="C105" s="117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</row>
    <row r="106">
      <c r="A106" s="3"/>
      <c r="B106" s="24"/>
      <c r="C106" s="117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</row>
    <row r="107">
      <c r="A107" s="3"/>
      <c r="B107" s="24"/>
      <c r="C107" s="117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</row>
    <row r="108">
      <c r="A108" s="3"/>
      <c r="B108" s="24"/>
      <c r="C108" s="117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</row>
    <row r="109">
      <c r="A109" s="3"/>
      <c r="B109" s="24"/>
      <c r="C109" s="117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</row>
    <row r="110">
      <c r="A110" s="3"/>
      <c r="B110" s="24"/>
      <c r="C110" s="117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</row>
    <row r="111">
      <c r="A111" s="3"/>
      <c r="B111" s="24"/>
      <c r="C111" s="117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</row>
    <row r="112">
      <c r="A112" s="3"/>
      <c r="B112" s="24"/>
      <c r="C112" s="117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</row>
    <row r="113">
      <c r="A113" s="3"/>
      <c r="B113" s="24"/>
      <c r="C113" s="117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</row>
    <row r="114">
      <c r="A114" s="3"/>
      <c r="B114" s="24"/>
      <c r="C114" s="117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</row>
    <row r="115">
      <c r="A115" s="3"/>
      <c r="B115" s="24"/>
      <c r="C115" s="117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</row>
    <row r="116">
      <c r="A116" s="3"/>
      <c r="B116" s="24"/>
      <c r="C116" s="117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</row>
    <row r="117">
      <c r="A117" s="3"/>
      <c r="B117" s="24"/>
      <c r="C117" s="117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</row>
    <row r="118">
      <c r="A118" s="3"/>
      <c r="B118" s="24"/>
      <c r="C118" s="117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</row>
    <row r="119">
      <c r="A119" s="3"/>
      <c r="B119" s="24"/>
      <c r="C119" s="117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</row>
    <row r="120">
      <c r="A120" s="3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</row>
    <row r="121">
      <c r="A121" s="3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</row>
    <row r="122">
      <c r="A122" s="3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</row>
    <row r="123">
      <c r="A123" s="3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</row>
    <row r="124">
      <c r="A124" s="3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</row>
    <row r="125">
      <c r="A125" s="3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</row>
    <row r="126">
      <c r="A126" s="3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</row>
    <row r="127">
      <c r="A127" s="3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</row>
    <row r="128">
      <c r="A128" s="3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</row>
    <row r="129">
      <c r="A129" s="3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</row>
    <row r="130">
      <c r="A130" s="3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</row>
    <row r="131">
      <c r="A131" s="3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</row>
    <row r="132">
      <c r="A132" s="3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</row>
    <row r="133">
      <c r="A133" s="3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</row>
    <row r="134">
      <c r="A134" s="3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</row>
    <row r="135">
      <c r="A135" s="3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</row>
    <row r="136">
      <c r="A136" s="3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</row>
    <row r="137">
      <c r="A137" s="3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</row>
    <row r="138">
      <c r="A138" s="3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</row>
    <row r="139">
      <c r="A139" s="3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</row>
    <row r="140">
      <c r="A140" s="3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</row>
    <row r="141">
      <c r="A141" s="3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</row>
    <row r="142">
      <c r="A142" s="3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</row>
    <row r="143">
      <c r="A143" s="3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</row>
    <row r="144">
      <c r="A144" s="3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</row>
    <row r="145">
      <c r="A145" s="3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</row>
    <row r="146">
      <c r="A146" s="3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</row>
    <row r="147">
      <c r="A147" s="3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</row>
    <row r="148">
      <c r="A148" s="3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</row>
    <row r="149">
      <c r="A149" s="3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</row>
    <row r="150">
      <c r="A150" s="3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</row>
    <row r="151">
      <c r="A151" s="3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</row>
    <row r="152">
      <c r="A152" s="3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</row>
    <row r="153">
      <c r="A153" s="3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</row>
    <row r="154">
      <c r="A154" s="3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</row>
    <row r="155">
      <c r="A155" s="3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</row>
    <row r="156">
      <c r="A156" s="3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</row>
    <row r="157">
      <c r="A157" s="3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</row>
    <row r="158">
      <c r="A158" s="3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</row>
    <row r="159">
      <c r="A159" s="3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</row>
    <row r="160">
      <c r="A160" s="3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</row>
    <row r="161">
      <c r="A161" s="3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</row>
    <row r="162">
      <c r="A162" s="3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</row>
    <row r="163">
      <c r="A163" s="3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</row>
    <row r="164">
      <c r="A164" s="3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</row>
    <row r="165">
      <c r="A165" s="3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</row>
    <row r="166">
      <c r="A166" s="3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</row>
    <row r="167">
      <c r="A167" s="3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</row>
    <row r="168">
      <c r="A168" s="3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</row>
    <row r="169">
      <c r="A169" s="3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</row>
    <row r="170">
      <c r="A170" s="3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</row>
    <row r="171">
      <c r="A171" s="3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</row>
    <row r="172">
      <c r="A172" s="3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</row>
    <row r="173">
      <c r="A173" s="3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</row>
    <row r="174">
      <c r="A174" s="3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</row>
    <row r="175">
      <c r="A175" s="3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</row>
    <row r="176">
      <c r="A176" s="3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</row>
    <row r="177">
      <c r="A177" s="3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</row>
    <row r="178">
      <c r="A178" s="3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</row>
    <row r="179">
      <c r="A179" s="3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</row>
    <row r="180">
      <c r="A180" s="3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</row>
    <row r="181">
      <c r="A181" s="3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</row>
    <row r="182">
      <c r="A182" s="3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</row>
    <row r="183">
      <c r="A183" s="3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</row>
    <row r="184">
      <c r="A184" s="3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</row>
    <row r="185">
      <c r="A185" s="3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</row>
    <row r="186">
      <c r="A186" s="3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</row>
    <row r="187">
      <c r="A187" s="3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</row>
    <row r="188">
      <c r="A188" s="3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</row>
    <row r="189">
      <c r="A189" s="3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</row>
    <row r="190">
      <c r="A190" s="3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</row>
    <row r="191">
      <c r="A191" s="3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</row>
    <row r="192">
      <c r="A192" s="3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</row>
    <row r="193">
      <c r="A193" s="3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</row>
    <row r="194">
      <c r="A194" s="3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</row>
    <row r="195">
      <c r="A195" s="3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</row>
    <row r="196">
      <c r="A196" s="3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</row>
    <row r="197">
      <c r="A197" s="3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</row>
    <row r="198">
      <c r="A198" s="3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</row>
    <row r="199">
      <c r="A199" s="3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</row>
    <row r="200">
      <c r="A200" s="3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</row>
    <row r="201">
      <c r="A201" s="3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</row>
    <row r="202">
      <c r="A202" s="3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</row>
    <row r="203">
      <c r="A203" s="3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</row>
    <row r="204">
      <c r="A204" s="3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</row>
    <row r="205">
      <c r="A205" s="3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</row>
    <row r="206">
      <c r="A206" s="3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</row>
    <row r="207">
      <c r="A207" s="3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</row>
    <row r="208">
      <c r="A208" s="3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</row>
    <row r="209">
      <c r="A209" s="3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</row>
    <row r="210">
      <c r="A210" s="3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</row>
    <row r="211">
      <c r="A211" s="3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</row>
    <row r="212">
      <c r="A212" s="3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</row>
    <row r="213">
      <c r="A213" s="3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</row>
    <row r="214">
      <c r="A214" s="3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</row>
    <row r="215">
      <c r="A215" s="3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</row>
    <row r="216">
      <c r="A216" s="3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</row>
    <row r="217">
      <c r="A217" s="3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</row>
    <row r="218">
      <c r="A218" s="3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</row>
    <row r="219">
      <c r="A219" s="3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</row>
    <row r="220">
      <c r="A220" s="3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</row>
    <row r="221">
      <c r="A221" s="3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</row>
    <row r="222">
      <c r="A222" s="3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</row>
    <row r="223">
      <c r="A223" s="3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</row>
    <row r="224">
      <c r="A224" s="3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</row>
    <row r="225">
      <c r="A225" s="3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</row>
    <row r="226">
      <c r="A226" s="3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</row>
    <row r="227">
      <c r="A227" s="3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</row>
    <row r="228">
      <c r="A228" s="3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</row>
    <row r="229">
      <c r="A229" s="3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</row>
    <row r="230">
      <c r="A230" s="3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</row>
    <row r="231">
      <c r="A231" s="3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</row>
    <row r="232">
      <c r="A232" s="3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</row>
    <row r="233">
      <c r="A233" s="3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</row>
    <row r="234">
      <c r="A234" s="3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</row>
    <row r="235">
      <c r="A235" s="3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</row>
    <row r="236">
      <c r="A236" s="3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</row>
    <row r="237">
      <c r="A237" s="3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</row>
    <row r="238">
      <c r="A238" s="3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</row>
    <row r="239">
      <c r="A239" s="3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</row>
    <row r="240">
      <c r="A240" s="3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</row>
    <row r="241">
      <c r="A241" s="3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</row>
    <row r="242">
      <c r="A242" s="3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</row>
    <row r="243">
      <c r="A243" s="3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</row>
    <row r="244">
      <c r="A244" s="3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</row>
    <row r="245">
      <c r="A245" s="3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</row>
    <row r="246">
      <c r="A246" s="3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</row>
    <row r="247">
      <c r="A247" s="3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</row>
    <row r="248">
      <c r="A248" s="3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</row>
    <row r="249">
      <c r="A249" s="3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</row>
    <row r="250">
      <c r="A250" s="3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</row>
    <row r="251">
      <c r="A251" s="3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</row>
    <row r="252">
      <c r="A252" s="3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</row>
    <row r="253">
      <c r="A253" s="3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</row>
    <row r="254">
      <c r="A254" s="3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</row>
    <row r="255">
      <c r="A255" s="3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</row>
    <row r="256">
      <c r="A256" s="3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</row>
    <row r="257">
      <c r="A257" s="3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</row>
    <row r="258">
      <c r="A258" s="3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</row>
    <row r="259">
      <c r="A259" s="3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</row>
    <row r="260">
      <c r="A260" s="3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</row>
    <row r="261">
      <c r="A261" s="3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</row>
    <row r="262">
      <c r="A262" s="3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</row>
    <row r="263">
      <c r="A263" s="3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</row>
    <row r="264">
      <c r="A264" s="3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</row>
    <row r="265">
      <c r="A265" s="3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</row>
    <row r="266">
      <c r="A266" s="3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</row>
    <row r="267">
      <c r="A267" s="3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</row>
    <row r="268">
      <c r="A268" s="3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</row>
    <row r="269">
      <c r="A269" s="3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</row>
    <row r="270">
      <c r="A270" s="3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</row>
    <row r="271">
      <c r="A271" s="3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</row>
    <row r="272">
      <c r="A272" s="3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</row>
    <row r="273">
      <c r="A273" s="3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</row>
    <row r="274">
      <c r="A274" s="3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</row>
    <row r="275">
      <c r="A275" s="3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</row>
    <row r="276">
      <c r="A276" s="3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</row>
    <row r="277">
      <c r="A277" s="3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</row>
    <row r="278">
      <c r="A278" s="3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</row>
    <row r="279">
      <c r="A279" s="3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</row>
    <row r="280">
      <c r="A280" s="3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</row>
    <row r="281">
      <c r="A281" s="3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</row>
    <row r="282">
      <c r="A282" s="3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</row>
    <row r="283">
      <c r="A283" s="3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</row>
    <row r="284">
      <c r="A284" s="3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</row>
    <row r="285">
      <c r="A285" s="3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</row>
    <row r="286">
      <c r="A286" s="3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</row>
    <row r="287">
      <c r="A287" s="3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</row>
    <row r="288">
      <c r="A288" s="3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</row>
    <row r="289">
      <c r="A289" s="3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</row>
    <row r="290">
      <c r="A290" s="3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</row>
    <row r="291">
      <c r="A291" s="3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</row>
    <row r="292">
      <c r="A292" s="3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</row>
    <row r="293">
      <c r="A293" s="3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</row>
    <row r="294">
      <c r="A294" s="3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</row>
    <row r="295">
      <c r="A295" s="3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</row>
    <row r="296">
      <c r="A296" s="3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</row>
    <row r="297">
      <c r="A297" s="3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</row>
    <row r="298">
      <c r="A298" s="3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</row>
    <row r="299">
      <c r="A299" s="3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</row>
    <row r="300">
      <c r="A300" s="3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</row>
    <row r="301">
      <c r="A301" s="3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</row>
    <row r="302">
      <c r="A302" s="3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</row>
    <row r="303">
      <c r="A303" s="3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</row>
    <row r="304">
      <c r="A304" s="3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</row>
    <row r="305">
      <c r="A305" s="3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</row>
    <row r="306">
      <c r="A306" s="3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</row>
    <row r="307">
      <c r="A307" s="3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</row>
    <row r="308">
      <c r="A308" s="3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</row>
    <row r="309">
      <c r="A309" s="3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</row>
    <row r="310">
      <c r="A310" s="3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</row>
    <row r="311">
      <c r="A311" s="3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</row>
    <row r="312">
      <c r="A312" s="3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</row>
    <row r="313">
      <c r="A313" s="3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</row>
    <row r="314">
      <c r="A314" s="3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</row>
    <row r="315">
      <c r="A315" s="3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</row>
    <row r="316">
      <c r="A316" s="3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</row>
    <row r="317">
      <c r="A317" s="3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</row>
    <row r="318">
      <c r="A318" s="3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</row>
    <row r="319">
      <c r="A319" s="3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</row>
    <row r="320">
      <c r="A320" s="3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</row>
    <row r="321">
      <c r="A321" s="3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</row>
    <row r="322">
      <c r="A322" s="3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</row>
    <row r="323">
      <c r="A323" s="3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</row>
    <row r="324">
      <c r="A324" s="3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</row>
    <row r="325">
      <c r="A325" s="3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</row>
    <row r="326">
      <c r="A326" s="3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</row>
    <row r="327">
      <c r="A327" s="3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</row>
    <row r="328">
      <c r="A328" s="3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</row>
    <row r="329">
      <c r="A329" s="3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</row>
    <row r="330">
      <c r="A330" s="3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</row>
    <row r="331">
      <c r="A331" s="3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</row>
    <row r="332">
      <c r="A332" s="3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</row>
    <row r="333">
      <c r="A333" s="3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</row>
    <row r="334">
      <c r="A334" s="3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</row>
    <row r="335">
      <c r="A335" s="3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</row>
    <row r="336">
      <c r="A336" s="3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</row>
    <row r="337">
      <c r="A337" s="3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</row>
    <row r="338">
      <c r="A338" s="3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</row>
    <row r="339">
      <c r="A339" s="3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</row>
    <row r="340">
      <c r="A340" s="3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</row>
    <row r="341">
      <c r="A341" s="3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</row>
    <row r="342">
      <c r="A342" s="3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</row>
    <row r="343">
      <c r="A343" s="3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</row>
    <row r="344">
      <c r="A344" s="3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</row>
    <row r="345">
      <c r="A345" s="3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</row>
    <row r="346">
      <c r="A346" s="3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</row>
    <row r="347">
      <c r="A347" s="3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</row>
    <row r="348">
      <c r="A348" s="3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</row>
    <row r="349">
      <c r="A349" s="3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</row>
    <row r="350">
      <c r="A350" s="3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</row>
    <row r="351">
      <c r="A351" s="3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</row>
    <row r="352">
      <c r="A352" s="3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</row>
    <row r="353">
      <c r="A353" s="3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</row>
    <row r="354">
      <c r="A354" s="3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</row>
    <row r="355">
      <c r="A355" s="3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</row>
    <row r="356">
      <c r="A356" s="3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</row>
    <row r="357">
      <c r="A357" s="3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</row>
    <row r="358">
      <c r="A358" s="3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</row>
    <row r="359">
      <c r="A359" s="3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</row>
    <row r="360">
      <c r="A360" s="3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</row>
    <row r="361">
      <c r="A361" s="3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</row>
    <row r="362">
      <c r="A362" s="3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</row>
    <row r="363">
      <c r="A363" s="3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</row>
    <row r="364">
      <c r="A364" s="3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</row>
    <row r="365">
      <c r="A365" s="3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</row>
    <row r="366">
      <c r="A366" s="3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</row>
    <row r="367">
      <c r="A367" s="3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</row>
    <row r="368">
      <c r="A368" s="3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</row>
    <row r="369">
      <c r="A369" s="3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</row>
    <row r="370">
      <c r="A370" s="3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</row>
    <row r="371">
      <c r="A371" s="3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</row>
    <row r="372">
      <c r="A372" s="3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</row>
    <row r="373">
      <c r="A373" s="3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</row>
    <row r="374">
      <c r="A374" s="3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</row>
    <row r="375">
      <c r="A375" s="3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</row>
    <row r="376">
      <c r="A376" s="3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</row>
    <row r="377">
      <c r="A377" s="3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</row>
    <row r="378">
      <c r="A378" s="3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</row>
    <row r="379">
      <c r="A379" s="3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</row>
    <row r="380">
      <c r="A380" s="3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</row>
    <row r="381">
      <c r="A381" s="3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</row>
    <row r="382">
      <c r="A382" s="3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</row>
    <row r="383">
      <c r="A383" s="3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</row>
    <row r="384">
      <c r="A384" s="3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</row>
    <row r="385">
      <c r="A385" s="3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</row>
    <row r="386">
      <c r="A386" s="3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</row>
    <row r="387">
      <c r="A387" s="3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</row>
    <row r="388">
      <c r="A388" s="3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</row>
    <row r="389">
      <c r="A389" s="3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</row>
    <row r="390">
      <c r="A390" s="3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</row>
    <row r="391">
      <c r="A391" s="3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</row>
    <row r="392">
      <c r="A392" s="3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</row>
    <row r="393">
      <c r="A393" s="3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</row>
    <row r="394">
      <c r="A394" s="3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</row>
    <row r="395">
      <c r="A395" s="3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</row>
    <row r="396">
      <c r="A396" s="3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</row>
    <row r="397">
      <c r="A397" s="3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</row>
    <row r="398">
      <c r="A398" s="3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</row>
    <row r="399">
      <c r="A399" s="3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</row>
    <row r="400">
      <c r="A400" s="3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</row>
    <row r="401">
      <c r="A401" s="3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</row>
    <row r="402">
      <c r="A402" s="3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</row>
    <row r="403">
      <c r="A403" s="3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</row>
    <row r="404">
      <c r="A404" s="3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</row>
    <row r="405">
      <c r="A405" s="3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</row>
    <row r="406">
      <c r="A406" s="3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</row>
    <row r="407">
      <c r="A407" s="3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</row>
    <row r="408">
      <c r="A408" s="3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</row>
    <row r="409">
      <c r="A409" s="3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</row>
    <row r="410">
      <c r="A410" s="3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</row>
    <row r="411">
      <c r="A411" s="3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</row>
    <row r="412">
      <c r="A412" s="3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</row>
    <row r="413">
      <c r="A413" s="3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</row>
    <row r="414">
      <c r="A414" s="3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</row>
    <row r="415">
      <c r="A415" s="3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</row>
    <row r="416">
      <c r="A416" s="3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</row>
    <row r="417">
      <c r="A417" s="3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</row>
    <row r="418">
      <c r="A418" s="3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</row>
    <row r="419">
      <c r="A419" s="3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</row>
    <row r="420">
      <c r="A420" s="3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</row>
    <row r="421">
      <c r="A421" s="3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</row>
    <row r="422">
      <c r="A422" s="3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</row>
    <row r="423">
      <c r="A423" s="3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</row>
    <row r="424">
      <c r="A424" s="3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</row>
    <row r="425">
      <c r="A425" s="3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</row>
    <row r="426">
      <c r="A426" s="3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</row>
    <row r="427">
      <c r="A427" s="3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</row>
    <row r="428">
      <c r="A428" s="3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</row>
    <row r="429">
      <c r="A429" s="3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</row>
    <row r="430">
      <c r="A430" s="3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</row>
    <row r="431">
      <c r="A431" s="3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</row>
    <row r="432">
      <c r="A432" s="3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</row>
    <row r="433">
      <c r="A433" s="3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</row>
    <row r="434">
      <c r="A434" s="3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</row>
    <row r="435">
      <c r="A435" s="3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</row>
    <row r="436">
      <c r="A436" s="3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</row>
    <row r="437">
      <c r="A437" s="3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</row>
    <row r="438">
      <c r="A438" s="3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</row>
    <row r="439">
      <c r="A439" s="3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</row>
    <row r="440">
      <c r="A440" s="3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</row>
    <row r="441">
      <c r="A441" s="3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</row>
    <row r="442">
      <c r="A442" s="3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</row>
    <row r="443">
      <c r="A443" s="3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</row>
    <row r="444">
      <c r="A444" s="3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</row>
    <row r="445">
      <c r="A445" s="3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</row>
    <row r="446">
      <c r="A446" s="3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</row>
    <row r="447">
      <c r="A447" s="3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</row>
    <row r="448">
      <c r="A448" s="3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</row>
    <row r="449">
      <c r="A449" s="3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</row>
    <row r="450">
      <c r="A450" s="3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</row>
    <row r="451">
      <c r="A451" s="3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</row>
    <row r="452">
      <c r="A452" s="3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</row>
    <row r="453">
      <c r="A453" s="3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</row>
    <row r="454">
      <c r="A454" s="3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</row>
    <row r="455">
      <c r="A455" s="3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</row>
    <row r="456">
      <c r="A456" s="3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</row>
    <row r="457">
      <c r="A457" s="3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</row>
    <row r="458">
      <c r="A458" s="3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</row>
    <row r="459">
      <c r="A459" s="3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</row>
    <row r="460">
      <c r="A460" s="3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</row>
    <row r="461">
      <c r="A461" s="3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</row>
    <row r="462">
      <c r="A462" s="3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</row>
    <row r="463">
      <c r="A463" s="3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</row>
    <row r="464">
      <c r="A464" s="3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</row>
    <row r="465">
      <c r="A465" s="3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</row>
    <row r="466">
      <c r="A466" s="3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</row>
    <row r="467">
      <c r="A467" s="3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</row>
    <row r="468">
      <c r="A468" s="3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</row>
    <row r="469">
      <c r="A469" s="3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</row>
    <row r="470">
      <c r="A470" s="3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</row>
    <row r="471">
      <c r="A471" s="3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</row>
    <row r="472">
      <c r="A472" s="3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</row>
    <row r="473">
      <c r="A473" s="3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</row>
    <row r="474">
      <c r="A474" s="3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</row>
    <row r="475">
      <c r="A475" s="3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</row>
    <row r="476">
      <c r="A476" s="3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</row>
    <row r="477">
      <c r="A477" s="3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</row>
    <row r="478">
      <c r="A478" s="3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</row>
    <row r="479">
      <c r="A479" s="3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</row>
    <row r="480">
      <c r="A480" s="3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</row>
    <row r="481">
      <c r="A481" s="3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</row>
    <row r="482">
      <c r="A482" s="3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</row>
    <row r="483">
      <c r="A483" s="3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</row>
    <row r="484">
      <c r="A484" s="3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</row>
    <row r="485">
      <c r="A485" s="3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</row>
    <row r="486">
      <c r="A486" s="3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</row>
    <row r="487">
      <c r="A487" s="3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</row>
    <row r="488">
      <c r="A488" s="3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</row>
    <row r="489">
      <c r="A489" s="3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</row>
    <row r="490">
      <c r="A490" s="3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</row>
    <row r="491">
      <c r="A491" s="3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</row>
    <row r="492">
      <c r="A492" s="3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</row>
    <row r="493">
      <c r="A493" s="3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</row>
    <row r="494">
      <c r="A494" s="3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</row>
    <row r="495">
      <c r="A495" s="3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</row>
    <row r="496">
      <c r="A496" s="3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</row>
    <row r="497">
      <c r="A497" s="3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</row>
    <row r="498">
      <c r="A498" s="3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</row>
    <row r="499">
      <c r="A499" s="3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</row>
    <row r="500">
      <c r="A500" s="3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</row>
    <row r="501">
      <c r="A501" s="3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</row>
    <row r="502">
      <c r="A502" s="3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</row>
    <row r="503">
      <c r="A503" s="3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</row>
    <row r="504">
      <c r="A504" s="3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</row>
    <row r="505">
      <c r="A505" s="3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</row>
    <row r="506">
      <c r="A506" s="3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</row>
    <row r="507">
      <c r="A507" s="3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</row>
    <row r="508">
      <c r="A508" s="3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</row>
    <row r="509">
      <c r="A509" s="3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</row>
    <row r="510">
      <c r="A510" s="3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</row>
    <row r="511">
      <c r="A511" s="3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</row>
    <row r="512">
      <c r="A512" s="3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</row>
    <row r="513">
      <c r="A513" s="3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</row>
    <row r="514">
      <c r="A514" s="3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</row>
    <row r="515">
      <c r="A515" s="3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</row>
    <row r="516">
      <c r="A516" s="3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</row>
    <row r="517">
      <c r="A517" s="3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</row>
    <row r="518">
      <c r="A518" s="3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</row>
    <row r="519">
      <c r="A519" s="3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</row>
    <row r="520">
      <c r="A520" s="3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</row>
    <row r="521">
      <c r="A521" s="3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</row>
    <row r="522">
      <c r="A522" s="3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</row>
    <row r="523">
      <c r="A523" s="3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</row>
    <row r="524">
      <c r="A524" s="3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</row>
    <row r="525">
      <c r="A525" s="3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</row>
    <row r="526">
      <c r="A526" s="3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</row>
    <row r="527">
      <c r="A527" s="3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</row>
    <row r="528">
      <c r="A528" s="3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</row>
    <row r="529">
      <c r="A529" s="3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</row>
    <row r="530">
      <c r="A530" s="3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</row>
    <row r="531">
      <c r="A531" s="3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</row>
    <row r="532">
      <c r="A532" s="3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</row>
    <row r="533">
      <c r="A533" s="3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</row>
    <row r="534">
      <c r="A534" s="3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</row>
    <row r="535">
      <c r="A535" s="3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</row>
    <row r="536">
      <c r="A536" s="3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</row>
    <row r="537">
      <c r="A537" s="3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</row>
    <row r="538">
      <c r="A538" s="3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</row>
    <row r="539">
      <c r="A539" s="3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</row>
    <row r="540">
      <c r="A540" s="3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</row>
    <row r="541">
      <c r="A541" s="3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</row>
    <row r="542">
      <c r="A542" s="3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</row>
    <row r="543">
      <c r="A543" s="3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</row>
    <row r="544">
      <c r="A544" s="3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</row>
    <row r="545">
      <c r="A545" s="3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</row>
    <row r="546">
      <c r="A546" s="3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</row>
    <row r="547">
      <c r="A547" s="3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</row>
    <row r="548">
      <c r="A548" s="3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</row>
    <row r="549">
      <c r="A549" s="3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</row>
    <row r="550">
      <c r="A550" s="3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</row>
    <row r="551">
      <c r="A551" s="3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</row>
    <row r="552">
      <c r="A552" s="3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</row>
    <row r="553">
      <c r="A553" s="3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</row>
    <row r="554">
      <c r="A554" s="3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</row>
    <row r="555">
      <c r="A555" s="3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</row>
    <row r="556">
      <c r="A556" s="3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</row>
    <row r="557">
      <c r="A557" s="3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</row>
    <row r="558">
      <c r="A558" s="3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</row>
    <row r="559">
      <c r="A559" s="3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</row>
    <row r="560">
      <c r="A560" s="3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</row>
    <row r="561">
      <c r="A561" s="3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</row>
    <row r="562">
      <c r="A562" s="3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</row>
    <row r="563">
      <c r="A563" s="3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</row>
    <row r="564">
      <c r="A564" s="3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</row>
    <row r="565">
      <c r="A565" s="3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</row>
    <row r="566">
      <c r="A566" s="3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</row>
    <row r="567">
      <c r="A567" s="3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</row>
    <row r="568">
      <c r="A568" s="3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</row>
    <row r="569">
      <c r="A569" s="3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</row>
    <row r="570">
      <c r="A570" s="3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</row>
    <row r="571">
      <c r="A571" s="3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</row>
    <row r="572">
      <c r="A572" s="3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</row>
    <row r="573">
      <c r="A573" s="3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</row>
    <row r="574">
      <c r="A574" s="3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</row>
    <row r="575">
      <c r="A575" s="3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</row>
    <row r="576">
      <c r="A576" s="3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</row>
    <row r="577">
      <c r="A577" s="3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</row>
    <row r="578">
      <c r="A578" s="3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</row>
    <row r="579">
      <c r="A579" s="3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</row>
    <row r="580">
      <c r="A580" s="3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</row>
    <row r="581">
      <c r="A581" s="3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</row>
    <row r="582">
      <c r="A582" s="3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</row>
    <row r="583">
      <c r="A583" s="3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</row>
    <row r="584">
      <c r="A584" s="3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</row>
    <row r="585">
      <c r="A585" s="3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</row>
    <row r="586">
      <c r="A586" s="3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</row>
    <row r="587">
      <c r="A587" s="3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</row>
    <row r="588">
      <c r="A588" s="3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</row>
    <row r="589">
      <c r="A589" s="3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</row>
    <row r="590">
      <c r="A590" s="3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</row>
    <row r="591">
      <c r="A591" s="3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</row>
    <row r="592">
      <c r="A592" s="3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</row>
    <row r="593">
      <c r="A593" s="3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</row>
    <row r="594">
      <c r="A594" s="3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</row>
    <row r="595">
      <c r="A595" s="3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</row>
    <row r="596">
      <c r="A596" s="3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</row>
    <row r="597">
      <c r="A597" s="3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</row>
    <row r="598">
      <c r="A598" s="3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</row>
    <row r="599">
      <c r="A599" s="3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</row>
    <row r="600">
      <c r="A600" s="3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</row>
    <row r="601">
      <c r="A601" s="3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</row>
    <row r="602">
      <c r="A602" s="3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</row>
    <row r="603">
      <c r="A603" s="3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</row>
    <row r="604">
      <c r="A604" s="3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</row>
    <row r="605">
      <c r="A605" s="3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</row>
    <row r="606">
      <c r="A606" s="3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</row>
    <row r="607">
      <c r="A607" s="3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</row>
    <row r="608">
      <c r="A608" s="3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</row>
    <row r="609">
      <c r="A609" s="3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</row>
    <row r="610">
      <c r="A610" s="3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</row>
    <row r="611">
      <c r="A611" s="3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</row>
    <row r="612">
      <c r="A612" s="3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</row>
    <row r="613">
      <c r="A613" s="3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</row>
    <row r="614">
      <c r="A614" s="3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</row>
    <row r="615">
      <c r="A615" s="3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</row>
    <row r="616">
      <c r="A616" s="3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</row>
    <row r="617">
      <c r="A617" s="3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</row>
    <row r="618">
      <c r="A618" s="3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</row>
    <row r="619">
      <c r="A619" s="3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</row>
    <row r="620">
      <c r="A620" s="3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</row>
    <row r="621">
      <c r="A621" s="3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</row>
    <row r="622">
      <c r="A622" s="3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</row>
    <row r="623">
      <c r="A623" s="3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</row>
    <row r="624">
      <c r="A624" s="3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</row>
    <row r="625">
      <c r="A625" s="3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</row>
    <row r="626">
      <c r="A626" s="3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</row>
    <row r="627">
      <c r="A627" s="3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</row>
    <row r="628">
      <c r="A628" s="3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</row>
    <row r="629">
      <c r="A629" s="3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</row>
    <row r="630">
      <c r="A630" s="3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</row>
    <row r="631">
      <c r="A631" s="3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</row>
    <row r="632">
      <c r="A632" s="3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</row>
    <row r="633">
      <c r="A633" s="3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</row>
    <row r="634">
      <c r="A634" s="3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</row>
    <row r="635">
      <c r="A635" s="3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</row>
    <row r="636">
      <c r="A636" s="3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</row>
    <row r="637">
      <c r="A637" s="3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</row>
    <row r="638">
      <c r="A638" s="3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</row>
    <row r="639">
      <c r="A639" s="3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</row>
    <row r="640">
      <c r="A640" s="3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</row>
    <row r="641">
      <c r="A641" s="3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</row>
    <row r="642">
      <c r="A642" s="3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</row>
    <row r="643">
      <c r="A643" s="3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</row>
    <row r="644">
      <c r="A644" s="3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</row>
    <row r="645">
      <c r="A645" s="3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</row>
    <row r="646">
      <c r="A646" s="3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</row>
    <row r="647">
      <c r="A647" s="3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</row>
    <row r="648">
      <c r="A648" s="3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</row>
    <row r="649">
      <c r="A649" s="3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</row>
    <row r="650">
      <c r="A650" s="3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</row>
    <row r="651">
      <c r="A651" s="3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</row>
    <row r="652">
      <c r="A652" s="3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</row>
    <row r="653">
      <c r="A653" s="3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</row>
    <row r="654">
      <c r="A654" s="3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</row>
    <row r="655">
      <c r="A655" s="3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</row>
    <row r="656">
      <c r="A656" s="3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</row>
    <row r="657">
      <c r="A657" s="3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</row>
    <row r="658">
      <c r="A658" s="3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</row>
    <row r="659">
      <c r="A659" s="3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</row>
    <row r="660">
      <c r="A660" s="3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</row>
    <row r="661">
      <c r="A661" s="3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</row>
    <row r="662">
      <c r="A662" s="3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</row>
    <row r="663">
      <c r="A663" s="3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</row>
    <row r="664">
      <c r="A664" s="3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</row>
    <row r="665">
      <c r="A665" s="3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</row>
    <row r="666">
      <c r="A666" s="3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</row>
    <row r="667">
      <c r="A667" s="3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</row>
    <row r="668">
      <c r="A668" s="3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</row>
    <row r="669">
      <c r="A669" s="3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</row>
    <row r="670">
      <c r="A670" s="3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</row>
    <row r="671">
      <c r="A671" s="3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</row>
    <row r="672">
      <c r="A672" s="3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</row>
    <row r="673">
      <c r="A673" s="3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</row>
    <row r="674">
      <c r="A674" s="3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</row>
    <row r="675">
      <c r="A675" s="3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</row>
    <row r="676">
      <c r="A676" s="3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</row>
    <row r="677">
      <c r="A677" s="3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</row>
    <row r="678">
      <c r="A678" s="3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</row>
    <row r="679">
      <c r="A679" s="3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</row>
    <row r="680">
      <c r="A680" s="3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</row>
    <row r="681">
      <c r="A681" s="3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</row>
    <row r="682">
      <c r="A682" s="3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</row>
    <row r="683">
      <c r="A683" s="3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</row>
    <row r="684">
      <c r="A684" s="3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</row>
    <row r="685">
      <c r="A685" s="3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</row>
    <row r="686">
      <c r="A686" s="3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</row>
    <row r="687">
      <c r="A687" s="3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</row>
    <row r="688">
      <c r="A688" s="3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</row>
    <row r="689">
      <c r="A689" s="3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</row>
    <row r="690">
      <c r="A690" s="3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</row>
    <row r="691">
      <c r="A691" s="3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</row>
    <row r="692">
      <c r="A692" s="3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</row>
    <row r="693">
      <c r="A693" s="3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</row>
    <row r="694">
      <c r="A694" s="3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</row>
    <row r="695">
      <c r="A695" s="3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</row>
    <row r="696">
      <c r="A696" s="3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</row>
    <row r="697">
      <c r="A697" s="3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</row>
    <row r="698">
      <c r="A698" s="3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</row>
    <row r="699">
      <c r="A699" s="3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</row>
    <row r="700">
      <c r="A700" s="3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</row>
    <row r="701">
      <c r="A701" s="3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</row>
    <row r="702">
      <c r="A702" s="3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</row>
    <row r="703">
      <c r="A703" s="3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</row>
    <row r="704">
      <c r="A704" s="3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</row>
    <row r="705">
      <c r="A705" s="3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</row>
    <row r="706">
      <c r="A706" s="3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</row>
    <row r="707">
      <c r="A707" s="3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</row>
    <row r="708">
      <c r="A708" s="3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</row>
    <row r="709">
      <c r="A709" s="3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</row>
    <row r="710">
      <c r="A710" s="3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</row>
    <row r="711">
      <c r="A711" s="3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</row>
    <row r="712">
      <c r="A712" s="3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</row>
    <row r="713">
      <c r="A713" s="3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</row>
    <row r="714">
      <c r="A714" s="3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</row>
    <row r="715">
      <c r="A715" s="3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</row>
    <row r="716">
      <c r="A716" s="3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</row>
    <row r="717">
      <c r="A717" s="3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</row>
    <row r="718">
      <c r="A718" s="3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</row>
    <row r="719">
      <c r="A719" s="3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</row>
    <row r="720">
      <c r="A720" s="3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</row>
    <row r="721">
      <c r="A721" s="3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</row>
    <row r="722">
      <c r="A722" s="3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</row>
    <row r="723">
      <c r="A723" s="3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</row>
    <row r="724">
      <c r="A724" s="3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</row>
    <row r="725">
      <c r="A725" s="3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</row>
    <row r="726">
      <c r="A726" s="3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</row>
    <row r="727">
      <c r="A727" s="3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</row>
    <row r="728">
      <c r="A728" s="3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</row>
    <row r="729">
      <c r="A729" s="3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</row>
    <row r="730">
      <c r="A730" s="3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</row>
    <row r="731">
      <c r="A731" s="3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</row>
    <row r="732">
      <c r="A732" s="3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</row>
    <row r="733">
      <c r="A733" s="3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</row>
    <row r="734">
      <c r="A734" s="3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</row>
    <row r="735">
      <c r="A735" s="3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</row>
    <row r="736">
      <c r="A736" s="3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</row>
    <row r="737">
      <c r="A737" s="3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</row>
    <row r="738">
      <c r="A738" s="3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</row>
    <row r="739">
      <c r="A739" s="3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</row>
    <row r="740">
      <c r="A740" s="3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</row>
    <row r="741">
      <c r="A741" s="3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</row>
    <row r="742">
      <c r="A742" s="3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</row>
    <row r="743">
      <c r="A743" s="3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</row>
    <row r="744">
      <c r="A744" s="3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</row>
    <row r="745">
      <c r="A745" s="3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</row>
    <row r="746">
      <c r="A746" s="3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</row>
    <row r="747">
      <c r="A747" s="3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</row>
    <row r="748">
      <c r="A748" s="3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</row>
    <row r="749">
      <c r="A749" s="3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</row>
    <row r="750">
      <c r="A750" s="3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</row>
    <row r="751">
      <c r="A751" s="3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</row>
    <row r="752">
      <c r="A752" s="3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</row>
    <row r="753">
      <c r="A753" s="3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</row>
    <row r="754">
      <c r="A754" s="3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</row>
    <row r="755">
      <c r="A755" s="3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</row>
    <row r="756">
      <c r="A756" s="3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</row>
    <row r="757">
      <c r="A757" s="3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</row>
    <row r="758">
      <c r="A758" s="3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</row>
    <row r="759">
      <c r="A759" s="3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</row>
    <row r="760">
      <c r="A760" s="3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</row>
    <row r="761">
      <c r="A761" s="3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</row>
    <row r="762">
      <c r="A762" s="3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</row>
    <row r="763">
      <c r="A763" s="3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</row>
    <row r="764">
      <c r="A764" s="3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</row>
    <row r="765">
      <c r="A765" s="3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</row>
    <row r="766">
      <c r="A766" s="3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</row>
    <row r="767">
      <c r="A767" s="3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</row>
    <row r="768">
      <c r="A768" s="3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</row>
    <row r="769">
      <c r="A769" s="3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</row>
    <row r="770">
      <c r="A770" s="3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</row>
    <row r="771">
      <c r="A771" s="3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</row>
    <row r="772">
      <c r="A772" s="3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</row>
    <row r="773">
      <c r="A773" s="3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</row>
    <row r="774">
      <c r="A774" s="3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</row>
    <row r="775">
      <c r="A775" s="3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</row>
    <row r="776">
      <c r="A776" s="3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</row>
    <row r="777">
      <c r="A777" s="3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</row>
    <row r="778">
      <c r="A778" s="3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</row>
    <row r="779">
      <c r="A779" s="3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</row>
    <row r="780">
      <c r="A780" s="3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</row>
    <row r="781">
      <c r="A781" s="3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</row>
    <row r="782">
      <c r="A782" s="3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</row>
    <row r="783">
      <c r="A783" s="3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</row>
    <row r="784">
      <c r="A784" s="3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</row>
    <row r="785">
      <c r="A785" s="3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</row>
    <row r="786">
      <c r="A786" s="3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</row>
    <row r="787">
      <c r="A787" s="3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</row>
    <row r="788">
      <c r="A788" s="3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</row>
    <row r="789">
      <c r="A789" s="3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</row>
    <row r="790">
      <c r="A790" s="3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</row>
    <row r="791">
      <c r="A791" s="3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</row>
    <row r="792">
      <c r="A792" s="3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</row>
    <row r="793">
      <c r="A793" s="3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</row>
    <row r="794">
      <c r="A794" s="3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</row>
    <row r="795">
      <c r="A795" s="3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</row>
    <row r="796">
      <c r="A796" s="3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</row>
    <row r="797">
      <c r="A797" s="3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</row>
    <row r="798">
      <c r="A798" s="3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</row>
    <row r="799">
      <c r="A799" s="3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</row>
    <row r="800">
      <c r="A800" s="3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</row>
    <row r="801">
      <c r="A801" s="3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</row>
    <row r="802">
      <c r="A802" s="3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</row>
    <row r="803">
      <c r="A803" s="3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</row>
    <row r="804">
      <c r="A804" s="3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</row>
    <row r="805">
      <c r="A805" s="3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</row>
    <row r="806">
      <c r="A806" s="3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</row>
    <row r="807">
      <c r="A807" s="3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</row>
    <row r="808">
      <c r="A808" s="3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</row>
    <row r="809">
      <c r="A809" s="3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</row>
    <row r="810">
      <c r="A810" s="3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</row>
    <row r="811">
      <c r="A811" s="3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</row>
    <row r="812">
      <c r="A812" s="3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</row>
    <row r="813">
      <c r="A813" s="3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</row>
    <row r="814">
      <c r="A814" s="3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</row>
    <row r="815">
      <c r="A815" s="3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</row>
    <row r="816">
      <c r="A816" s="3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</row>
    <row r="817">
      <c r="A817" s="3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</row>
    <row r="818">
      <c r="A818" s="3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</row>
    <row r="819">
      <c r="A819" s="3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</row>
    <row r="820">
      <c r="A820" s="3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</row>
    <row r="821">
      <c r="A821" s="3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</row>
    <row r="822">
      <c r="A822" s="3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</row>
    <row r="823">
      <c r="A823" s="3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</row>
    <row r="824">
      <c r="A824" s="3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</row>
    <row r="825">
      <c r="A825" s="3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</row>
    <row r="826">
      <c r="A826" s="3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</row>
    <row r="827">
      <c r="A827" s="3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</row>
    <row r="828">
      <c r="A828" s="3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</row>
    <row r="829">
      <c r="A829" s="3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</row>
    <row r="830">
      <c r="A830" s="3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</row>
    <row r="831">
      <c r="A831" s="3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</row>
    <row r="832">
      <c r="A832" s="3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</row>
    <row r="833">
      <c r="A833" s="3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</row>
    <row r="834">
      <c r="A834" s="3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</row>
    <row r="835">
      <c r="A835" s="3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</row>
    <row r="836">
      <c r="A836" s="3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</row>
    <row r="837">
      <c r="A837" s="3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</row>
    <row r="838">
      <c r="A838" s="3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</row>
    <row r="839">
      <c r="A839" s="3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</row>
    <row r="840">
      <c r="A840" s="3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</row>
    <row r="841">
      <c r="A841" s="3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</row>
    <row r="842">
      <c r="A842" s="3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</row>
    <row r="843">
      <c r="A843" s="3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</row>
    <row r="844">
      <c r="A844" s="3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</row>
    <row r="845">
      <c r="A845" s="3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</row>
    <row r="846">
      <c r="A846" s="3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</row>
    <row r="847">
      <c r="A847" s="3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</row>
    <row r="848">
      <c r="A848" s="3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</row>
    <row r="849">
      <c r="A849" s="3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</row>
    <row r="850">
      <c r="A850" s="3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</row>
    <row r="851">
      <c r="A851" s="3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</row>
    <row r="852">
      <c r="A852" s="3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</row>
    <row r="853">
      <c r="A853" s="3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</row>
    <row r="854">
      <c r="A854" s="3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</row>
    <row r="855">
      <c r="A855" s="3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</row>
    <row r="856">
      <c r="A856" s="3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</row>
    <row r="857">
      <c r="A857" s="3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</row>
    <row r="858">
      <c r="A858" s="3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</row>
    <row r="859">
      <c r="A859" s="3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</row>
    <row r="860">
      <c r="A860" s="3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</row>
    <row r="861">
      <c r="A861" s="3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</row>
    <row r="862">
      <c r="A862" s="3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</row>
    <row r="863">
      <c r="A863" s="3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</row>
    <row r="864">
      <c r="A864" s="3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</row>
    <row r="865">
      <c r="A865" s="3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</row>
    <row r="866">
      <c r="A866" s="3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</row>
    <row r="867">
      <c r="A867" s="3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</row>
    <row r="868">
      <c r="A868" s="3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</row>
    <row r="869">
      <c r="A869" s="3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</row>
    <row r="870">
      <c r="A870" s="3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</row>
    <row r="871">
      <c r="A871" s="3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</row>
    <row r="872">
      <c r="A872" s="3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</row>
    <row r="873">
      <c r="A873" s="3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</row>
    <row r="874">
      <c r="A874" s="3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</row>
    <row r="875">
      <c r="A875" s="3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</row>
    <row r="876">
      <c r="A876" s="3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</row>
    <row r="877">
      <c r="A877" s="3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</row>
    <row r="878">
      <c r="A878" s="3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</row>
    <row r="879">
      <c r="A879" s="3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</row>
    <row r="880">
      <c r="A880" s="3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</row>
    <row r="881">
      <c r="A881" s="3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</row>
    <row r="882">
      <c r="A882" s="3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</row>
    <row r="883">
      <c r="A883" s="3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</row>
    <row r="884">
      <c r="A884" s="3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</row>
    <row r="885">
      <c r="A885" s="3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</row>
    <row r="886">
      <c r="A886" s="3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</row>
    <row r="887">
      <c r="A887" s="3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</row>
    <row r="888">
      <c r="A888" s="3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</row>
    <row r="889">
      <c r="A889" s="3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</row>
    <row r="890">
      <c r="A890" s="3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</row>
    <row r="891">
      <c r="A891" s="3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</row>
    <row r="892">
      <c r="A892" s="3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</row>
    <row r="893">
      <c r="A893" s="3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</row>
    <row r="894">
      <c r="A894" s="3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</row>
    <row r="895">
      <c r="A895" s="3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</row>
    <row r="896">
      <c r="A896" s="3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</row>
    <row r="897">
      <c r="A897" s="3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</row>
    <row r="898">
      <c r="A898" s="3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</row>
    <row r="899">
      <c r="A899" s="3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</row>
    <row r="900">
      <c r="A900" s="3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</row>
    <row r="901">
      <c r="A901" s="3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</row>
    <row r="902">
      <c r="A902" s="3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</row>
    <row r="903">
      <c r="A903" s="3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</row>
    <row r="904">
      <c r="A904" s="3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</row>
    <row r="905">
      <c r="A905" s="3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</row>
    <row r="906">
      <c r="A906" s="3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</row>
    <row r="907">
      <c r="A907" s="3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</row>
    <row r="908">
      <c r="A908" s="3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</row>
    <row r="909">
      <c r="A909" s="3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</row>
    <row r="910">
      <c r="A910" s="3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</row>
    <row r="911">
      <c r="A911" s="3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</row>
    <row r="912">
      <c r="A912" s="3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</row>
    <row r="913">
      <c r="A913" s="3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</row>
    <row r="914">
      <c r="A914" s="3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</row>
    <row r="915">
      <c r="A915" s="3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</row>
    <row r="916">
      <c r="A916" s="3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</row>
    <row r="917">
      <c r="A917" s="3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</row>
    <row r="918">
      <c r="A918" s="3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</row>
    <row r="919">
      <c r="A919" s="3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</row>
    <row r="920">
      <c r="A920" s="3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</row>
    <row r="921">
      <c r="A921" s="3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</row>
    <row r="922">
      <c r="A922" s="3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</row>
    <row r="923">
      <c r="A923" s="3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</row>
    <row r="924">
      <c r="A924" s="3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</row>
    <row r="925">
      <c r="A925" s="3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</row>
    <row r="926">
      <c r="A926" s="3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</row>
    <row r="927">
      <c r="A927" s="3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</row>
    <row r="928">
      <c r="A928" s="3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</row>
    <row r="929">
      <c r="A929" s="3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</row>
    <row r="930">
      <c r="A930" s="3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</row>
    <row r="931">
      <c r="A931" s="3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</row>
    <row r="932">
      <c r="A932" s="3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</row>
    <row r="933">
      <c r="A933" s="3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</row>
    <row r="934">
      <c r="A934" s="3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</row>
    <row r="935">
      <c r="A935" s="3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</row>
    <row r="936">
      <c r="A936" s="3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</row>
    <row r="937">
      <c r="A937" s="3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</row>
    <row r="938">
      <c r="A938" s="3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</row>
    <row r="939">
      <c r="A939" s="3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</row>
    <row r="940">
      <c r="A940" s="3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</row>
    <row r="941">
      <c r="A941" s="3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</row>
    <row r="942">
      <c r="A942" s="3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</row>
    <row r="943">
      <c r="A943" s="3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</row>
    <row r="944">
      <c r="A944" s="3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</row>
    <row r="945">
      <c r="A945" s="3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</row>
    <row r="946">
      <c r="A946" s="3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</row>
    <row r="947">
      <c r="A947" s="3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</row>
    <row r="948">
      <c r="A948" s="3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</row>
    <row r="949">
      <c r="A949" s="3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</row>
    <row r="950">
      <c r="A950" s="3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</row>
    <row r="951">
      <c r="A951" s="3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</row>
    <row r="952">
      <c r="A952" s="3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</row>
    <row r="953">
      <c r="A953" s="3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</row>
    <row r="954">
      <c r="A954" s="3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</row>
    <row r="955">
      <c r="A955" s="3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</row>
    <row r="956">
      <c r="A956" s="3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</row>
    <row r="957">
      <c r="A957" s="3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</row>
    <row r="958">
      <c r="A958" s="3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</row>
    <row r="959">
      <c r="A959" s="3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</row>
    <row r="960">
      <c r="A960" s="3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</row>
    <row r="961">
      <c r="A961" s="3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</row>
    <row r="962">
      <c r="A962" s="3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</row>
    <row r="963">
      <c r="A963" s="3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</row>
    <row r="964">
      <c r="A964" s="3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</row>
    <row r="965">
      <c r="A965" s="3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</row>
    <row r="966">
      <c r="A966" s="3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</row>
    <row r="967">
      <c r="A967" s="3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</row>
    <row r="968">
      <c r="A968" s="3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</row>
    <row r="969">
      <c r="A969" s="3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</row>
    <row r="970">
      <c r="A970" s="3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</row>
    <row r="971">
      <c r="A971" s="3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</row>
    <row r="972">
      <c r="A972" s="3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</row>
    <row r="973">
      <c r="A973" s="3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</row>
    <row r="974">
      <c r="A974" s="3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</row>
    <row r="975">
      <c r="A975" s="3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</row>
    <row r="976">
      <c r="A976" s="3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</row>
    <row r="977">
      <c r="A977" s="3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</row>
    <row r="978">
      <c r="A978" s="3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</row>
    <row r="979">
      <c r="A979" s="3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</row>
    <row r="980">
      <c r="A980" s="3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</row>
    <row r="981">
      <c r="A981" s="3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</row>
    <row r="982">
      <c r="A982" s="3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</row>
    <row r="983">
      <c r="A983" s="3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</row>
    <row r="984">
      <c r="A984" s="3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</row>
    <row r="985">
      <c r="A985" s="3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</row>
    <row r="986">
      <c r="A986" s="3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</row>
    <row r="987">
      <c r="A987" s="3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</row>
    <row r="988">
      <c r="A988" s="3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</row>
    <row r="989">
      <c r="A989" s="3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</row>
    <row r="990">
      <c r="A990" s="3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</row>
    <row r="991">
      <c r="A991" s="3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</row>
    <row r="992">
      <c r="A992" s="3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</row>
    <row r="993">
      <c r="A993" s="3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</row>
    <row r="994">
      <c r="A994" s="3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</row>
    <row r="995">
      <c r="A995" s="3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</row>
    <row r="996">
      <c r="A996" s="3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</row>
    <row r="997">
      <c r="A997" s="3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</row>
  </sheetData>
  <mergeCells count="121">
    <mergeCell ref="G4:I6"/>
    <mergeCell ref="C7:I7"/>
    <mergeCell ref="C8:I9"/>
    <mergeCell ref="D10:I10"/>
    <mergeCell ref="D11:I11"/>
    <mergeCell ref="M8:O8"/>
    <mergeCell ref="P8:T12"/>
    <mergeCell ref="M9:O9"/>
    <mergeCell ref="M10:O10"/>
    <mergeCell ref="M11:O11"/>
    <mergeCell ref="M12:O12"/>
    <mergeCell ref="C1:I1"/>
    <mergeCell ref="L1:O1"/>
    <mergeCell ref="Q1:T1"/>
    <mergeCell ref="C2:I2"/>
    <mergeCell ref="K2:O7"/>
    <mergeCell ref="C3:E3"/>
    <mergeCell ref="G3:I3"/>
    <mergeCell ref="E14:E15"/>
    <mergeCell ref="F14:F15"/>
    <mergeCell ref="G14:G15"/>
    <mergeCell ref="H14:J14"/>
    <mergeCell ref="K14:K15"/>
    <mergeCell ref="L14:L15"/>
    <mergeCell ref="C4:E4"/>
    <mergeCell ref="F4:F6"/>
    <mergeCell ref="B5:B6"/>
    <mergeCell ref="C5:E6"/>
    <mergeCell ref="B8:B9"/>
    <mergeCell ref="B10:B11"/>
    <mergeCell ref="B14:B15"/>
    <mergeCell ref="C14:C15"/>
    <mergeCell ref="D14:D15"/>
    <mergeCell ref="B16:B24"/>
    <mergeCell ref="C16:C24"/>
    <mergeCell ref="D16:D24"/>
    <mergeCell ref="E16:E24"/>
    <mergeCell ref="F16:F24"/>
    <mergeCell ref="H20:J20"/>
    <mergeCell ref="H21:J21"/>
    <mergeCell ref="G16:G18"/>
    <mergeCell ref="H16:H17"/>
    <mergeCell ref="I16:I17"/>
    <mergeCell ref="J16:J17"/>
    <mergeCell ref="K16:K24"/>
    <mergeCell ref="H18:J18"/>
    <mergeCell ref="H19:J19"/>
    <mergeCell ref="G25:G27"/>
    <mergeCell ref="H25:H26"/>
    <mergeCell ref="I25:I26"/>
    <mergeCell ref="J25:J26"/>
    <mergeCell ref="H23:J23"/>
    <mergeCell ref="H27:J27"/>
    <mergeCell ref="H28:J28"/>
    <mergeCell ref="H29:J29"/>
    <mergeCell ref="H30:J30"/>
    <mergeCell ref="G31:G32"/>
    <mergeCell ref="H32:J32"/>
    <mergeCell ref="G22:G23"/>
    <mergeCell ref="B25:B33"/>
    <mergeCell ref="C25:C33"/>
    <mergeCell ref="D25:D33"/>
    <mergeCell ref="E25:E33"/>
    <mergeCell ref="F25:F33"/>
    <mergeCell ref="K25:K33"/>
    <mergeCell ref="G53:K53"/>
    <mergeCell ref="G54:K54"/>
    <mergeCell ref="G55:K55"/>
    <mergeCell ref="G56:K56"/>
    <mergeCell ref="G57:K57"/>
    <mergeCell ref="I45:K45"/>
    <mergeCell ref="G46:K47"/>
    <mergeCell ref="G48:K48"/>
    <mergeCell ref="G49:K49"/>
    <mergeCell ref="G50:K50"/>
    <mergeCell ref="G51:K51"/>
    <mergeCell ref="G52:K52"/>
    <mergeCell ref="E36:E37"/>
    <mergeCell ref="F36:F37"/>
    <mergeCell ref="E38:E39"/>
    <mergeCell ref="F38:F39"/>
    <mergeCell ref="E40:E41"/>
    <mergeCell ref="F40:F41"/>
    <mergeCell ref="B34:B35"/>
    <mergeCell ref="C34:C35"/>
    <mergeCell ref="D34:D35"/>
    <mergeCell ref="E34:E35"/>
    <mergeCell ref="F34:F35"/>
    <mergeCell ref="G34:K35"/>
    <mergeCell ref="B36:B37"/>
    <mergeCell ref="C36:C37"/>
    <mergeCell ref="D36:D37"/>
    <mergeCell ref="B38:B39"/>
    <mergeCell ref="C38:C39"/>
    <mergeCell ref="D38:D39"/>
    <mergeCell ref="C40:C41"/>
    <mergeCell ref="D40:D41"/>
    <mergeCell ref="C44:C45"/>
    <mergeCell ref="D44:D45"/>
    <mergeCell ref="B46:B47"/>
    <mergeCell ref="C46:C47"/>
    <mergeCell ref="D46:D47"/>
    <mergeCell ref="E46:E47"/>
    <mergeCell ref="F46:F47"/>
    <mergeCell ref="E44:E45"/>
    <mergeCell ref="F44:F45"/>
    <mergeCell ref="G44:G45"/>
    <mergeCell ref="B40:B41"/>
    <mergeCell ref="B42:B43"/>
    <mergeCell ref="C42:C43"/>
    <mergeCell ref="D42:D43"/>
    <mergeCell ref="E42:E43"/>
    <mergeCell ref="F42:F43"/>
    <mergeCell ref="B44:B45"/>
    <mergeCell ref="G36:K37"/>
    <mergeCell ref="H38:K38"/>
    <mergeCell ref="H39:K39"/>
    <mergeCell ref="G40:J41"/>
    <mergeCell ref="K40:K41"/>
    <mergeCell ref="G42:K43"/>
    <mergeCell ref="I44:K44"/>
  </mergeCells>
  <dataValidations>
    <dataValidation type="list" allowBlank="1" showErrorMessage="1" sqref="K1 P1">
      <formula1>"(下拉選擇),有指定,不指定"</formula1>
    </dataValidation>
    <dataValidation type="list" allowBlank="1" showErrorMessage="1" sqref="C2">
      <formula1>"A+級-SBD,A+級-SBD資交,A+級-蝦皮直營,A+級-造節L1-D1,A+級-造節L1-D2,A+級-造節L1-D3,A+級-造節L1-D4,A+級-造節L1-D5,A+級-造節L2-D1,A+級-造節L2-D2,A+級-造節L2-D3,A+級-造節L2-D4,A+級-造節L2-D5,A級-精選套裝,A大促Brand Star,A大促Brand Star(資交),A級-MDD,A級-MDD(資交),B+賣版套裝(基礎套裝BAU),B+級-今日旗艦店BOD A,B+級-今日旗艦店BOD A (資交)"&amp;",B+級-今日旗艦店BOD B,B級-JPB(多店活動),B級-JPB(單店活動),B級-金牌 (Mega)"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63"/>
    <col customWidth="1" min="2" max="2" width="8.38"/>
    <col customWidth="1" min="3" max="19" width="6.88"/>
    <col customWidth="1" min="20" max="20" width="7.13"/>
    <col customWidth="1" min="21" max="21" width="2.25"/>
    <col customWidth="1" min="22" max="33" width="4.13"/>
    <col customWidth="1" min="34" max="34" width="3.0"/>
    <col customWidth="1" min="35" max="52" width="7.13"/>
  </cols>
  <sheetData>
    <row r="1" ht="18.0" customHeight="1">
      <c r="A1" s="118" t="s">
        <v>102</v>
      </c>
      <c r="B1" s="119" t="s">
        <v>103</v>
      </c>
    </row>
    <row r="2" ht="18.0" customHeight="1">
      <c r="A2" s="118" t="s">
        <v>104</v>
      </c>
      <c r="B2" s="120" t="s">
        <v>105</v>
      </c>
    </row>
    <row r="3" ht="24.0" customHeight="1">
      <c r="A3" s="121" t="s">
        <v>106</v>
      </c>
      <c r="B3" s="121" t="s">
        <v>107</v>
      </c>
      <c r="C3" s="122" t="s">
        <v>108</v>
      </c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</row>
    <row r="4" ht="19.5" customHeight="1">
      <c r="A4" s="124"/>
      <c r="B4" s="124"/>
      <c r="C4" s="125" t="s">
        <v>109</v>
      </c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6"/>
      <c r="U4" s="127"/>
      <c r="V4" s="128" t="s">
        <v>110</v>
      </c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6"/>
      <c r="AH4" s="129"/>
      <c r="AI4" s="130" t="s">
        <v>111</v>
      </c>
    </row>
    <row r="5" ht="22.5" customHeight="1">
      <c r="A5" s="131" t="s">
        <v>112</v>
      </c>
      <c r="B5" s="132" t="s">
        <v>113</v>
      </c>
      <c r="C5" s="133" t="s">
        <v>114</v>
      </c>
      <c r="D5" s="123"/>
      <c r="E5" s="123"/>
      <c r="F5" s="123"/>
      <c r="G5" s="123"/>
      <c r="H5" s="126"/>
      <c r="I5" s="133" t="s">
        <v>114</v>
      </c>
      <c r="J5" s="123"/>
      <c r="K5" s="123"/>
      <c r="L5" s="123"/>
      <c r="M5" s="123"/>
      <c r="N5" s="126"/>
      <c r="O5" s="133" t="s">
        <v>115</v>
      </c>
      <c r="P5" s="123"/>
      <c r="Q5" s="123"/>
      <c r="R5" s="123"/>
      <c r="S5" s="123"/>
      <c r="T5" s="126"/>
      <c r="V5" s="134" t="s">
        <v>114</v>
      </c>
      <c r="W5" s="135"/>
      <c r="X5" s="135"/>
      <c r="Y5" s="136"/>
      <c r="Z5" s="134" t="s">
        <v>114</v>
      </c>
      <c r="AA5" s="135"/>
      <c r="AB5" s="135"/>
      <c r="AC5" s="136"/>
      <c r="AD5" s="134" t="s">
        <v>115</v>
      </c>
      <c r="AE5" s="135"/>
      <c r="AF5" s="135"/>
      <c r="AG5" s="136"/>
      <c r="AI5" s="133" t="s">
        <v>114</v>
      </c>
      <c r="AJ5" s="123"/>
      <c r="AK5" s="123"/>
      <c r="AL5" s="123"/>
      <c r="AM5" s="123"/>
      <c r="AN5" s="126"/>
      <c r="AO5" s="133" t="s">
        <v>114</v>
      </c>
      <c r="AP5" s="123"/>
      <c r="AQ5" s="123"/>
      <c r="AR5" s="123"/>
      <c r="AS5" s="123"/>
      <c r="AT5" s="126"/>
      <c r="AU5" s="133" t="s">
        <v>115</v>
      </c>
      <c r="AV5" s="123"/>
      <c r="AW5" s="123"/>
      <c r="AX5" s="123"/>
      <c r="AY5" s="123"/>
      <c r="AZ5" s="126"/>
    </row>
    <row r="6" ht="21.75" customHeight="1">
      <c r="C6" s="137" t="s">
        <v>116</v>
      </c>
      <c r="D6" s="138" t="s">
        <v>117</v>
      </c>
      <c r="E6" s="123"/>
      <c r="F6" s="123"/>
      <c r="G6" s="126"/>
      <c r="H6" s="139" t="str">
        <f>IF(D6="","限8字",IF(LENB(D6)/2&lt;=8,"OK","超過"))</f>
        <v>OK</v>
      </c>
      <c r="I6" s="137" t="s">
        <v>116</v>
      </c>
      <c r="J6" s="140" t="s">
        <v>118</v>
      </c>
      <c r="K6" s="123"/>
      <c r="L6" s="123"/>
      <c r="M6" s="126"/>
      <c r="N6" s="139" t="str">
        <f>IF(J6="","限8字",IF(LENB(J6)/2&lt;=8,"OK","超過"))</f>
        <v>OK</v>
      </c>
      <c r="O6" s="137" t="s">
        <v>116</v>
      </c>
      <c r="P6" s="140" t="s">
        <v>119</v>
      </c>
      <c r="Q6" s="123"/>
      <c r="R6" s="123"/>
      <c r="S6" s="126"/>
      <c r="T6" s="139" t="str">
        <f>IF(P6="","限8字",IF(LENB(P6)/2&lt;=8,"OK","超過"))</f>
        <v>OK</v>
      </c>
      <c r="V6" s="141"/>
      <c r="W6" s="142"/>
      <c r="X6" s="142"/>
      <c r="Y6" s="143"/>
      <c r="Z6" s="141"/>
      <c r="AA6" s="142"/>
      <c r="AB6" s="142"/>
      <c r="AC6" s="143"/>
      <c r="AD6" s="141"/>
      <c r="AE6" s="142"/>
      <c r="AF6" s="142"/>
      <c r="AG6" s="143"/>
      <c r="AI6" s="137" t="s">
        <v>116</v>
      </c>
      <c r="AJ6" s="144" t="str">
        <f t="shared" ref="AJ6:AJ9" si="1">IF(AI6="OK","確認無誤",IF(AI6="","待填","OK"))</f>
        <v>OK</v>
      </c>
      <c r="AK6" s="123"/>
      <c r="AL6" s="123"/>
      <c r="AM6" s="126"/>
      <c r="AN6" s="139" t="str">
        <f t="shared" ref="AN6:AN9" si="2">IF(AJ6="OK","確認無誤",IF(AJ6="","待填","OK"))</f>
        <v>確認無誤</v>
      </c>
      <c r="AO6" s="137" t="s">
        <v>116</v>
      </c>
      <c r="AP6" s="144" t="str">
        <f t="shared" ref="AP6:AP9" si="3">IF(AO6="OK","確認無誤",IF(AO6="","待填","OK"))</f>
        <v>OK</v>
      </c>
      <c r="AQ6" s="123"/>
      <c r="AR6" s="123"/>
      <c r="AS6" s="126"/>
      <c r="AT6" s="139" t="str">
        <f t="shared" ref="AT6:AT9" si="4">IF(AP6="OK","確認無誤",IF(AP6="","待填","OK"))</f>
        <v>確認無誤</v>
      </c>
      <c r="AU6" s="137" t="s">
        <v>116</v>
      </c>
      <c r="AV6" s="144" t="str">
        <f t="shared" ref="AV6:AV8" si="5">IF(AU6="OK","確認無誤",IF(AU6="","待填","OK"))</f>
        <v>OK</v>
      </c>
      <c r="AW6" s="123"/>
      <c r="AX6" s="123"/>
      <c r="AY6" s="126"/>
      <c r="AZ6" s="139" t="str">
        <f t="shared" ref="AZ6:AZ8" si="6">IF(AV6="OK","確認無誤",IF(AV6="","待填","OK"))</f>
        <v>確認無誤</v>
      </c>
    </row>
    <row r="7" ht="21.75" customHeight="1">
      <c r="C7" s="137" t="s">
        <v>120</v>
      </c>
      <c r="D7" s="140" t="s">
        <v>121</v>
      </c>
      <c r="E7" s="123"/>
      <c r="F7" s="123"/>
      <c r="G7" s="126"/>
      <c r="H7" s="139" t="str">
        <f>IF(D7="","待填","OK")</f>
        <v>OK</v>
      </c>
      <c r="I7" s="137" t="s">
        <v>120</v>
      </c>
      <c r="J7" s="140" t="s">
        <v>122</v>
      </c>
      <c r="K7" s="123"/>
      <c r="L7" s="123"/>
      <c r="M7" s="126"/>
      <c r="N7" s="139" t="str">
        <f>IF(J7="","待填","OK")</f>
        <v>OK</v>
      </c>
      <c r="O7" s="137" t="s">
        <v>120</v>
      </c>
      <c r="P7" s="140" t="s">
        <v>123</v>
      </c>
      <c r="Q7" s="123"/>
      <c r="R7" s="123"/>
      <c r="S7" s="126"/>
      <c r="T7" s="139" t="str">
        <f>IF(P7="","待填","OK")</f>
        <v>OK</v>
      </c>
      <c r="V7" s="145"/>
      <c r="Y7" s="146"/>
      <c r="Z7" s="145"/>
      <c r="AC7" s="146"/>
      <c r="AD7" s="145"/>
      <c r="AG7" s="146"/>
      <c r="AI7" s="137" t="s">
        <v>120</v>
      </c>
      <c r="AJ7" s="144" t="str">
        <f t="shared" si="1"/>
        <v>OK</v>
      </c>
      <c r="AK7" s="123"/>
      <c r="AL7" s="123"/>
      <c r="AM7" s="126"/>
      <c r="AN7" s="139" t="str">
        <f t="shared" si="2"/>
        <v>確認無誤</v>
      </c>
      <c r="AO7" s="137" t="s">
        <v>120</v>
      </c>
      <c r="AP7" s="144" t="str">
        <f t="shared" si="3"/>
        <v>OK</v>
      </c>
      <c r="AQ7" s="123"/>
      <c r="AR7" s="123"/>
      <c r="AS7" s="126"/>
      <c r="AT7" s="139" t="str">
        <f t="shared" si="4"/>
        <v>確認無誤</v>
      </c>
      <c r="AU7" s="137" t="s">
        <v>120</v>
      </c>
      <c r="AV7" s="144" t="str">
        <f t="shared" si="5"/>
        <v>OK</v>
      </c>
      <c r="AW7" s="123"/>
      <c r="AX7" s="123"/>
      <c r="AY7" s="126"/>
      <c r="AZ7" s="139" t="str">
        <f t="shared" si="6"/>
        <v>確認無誤</v>
      </c>
    </row>
    <row r="8" ht="21.75" customHeight="1">
      <c r="C8" s="137" t="s">
        <v>124</v>
      </c>
      <c r="D8" s="140" t="s">
        <v>125</v>
      </c>
      <c r="E8" s="123"/>
      <c r="F8" s="123"/>
      <c r="G8" s="126"/>
      <c r="H8" s="139" t="str">
        <f>IF(D8="","限8字",IF(LENB(D8)/2&lt;=8,"OK","超過"))</f>
        <v>OK</v>
      </c>
      <c r="I8" s="137" t="s">
        <v>124</v>
      </c>
      <c r="J8" s="138" t="s">
        <v>126</v>
      </c>
      <c r="K8" s="123"/>
      <c r="L8" s="123"/>
      <c r="M8" s="126"/>
      <c r="N8" s="139" t="str">
        <f>IF(J8="","限8字",IF(LENB(J8)/2&lt;=8,"OK","超過"))</f>
        <v>OK</v>
      </c>
      <c r="O8" s="137" t="s">
        <v>124</v>
      </c>
      <c r="P8" s="140" t="s">
        <v>127</v>
      </c>
      <c r="Q8" s="123"/>
      <c r="R8" s="123"/>
      <c r="S8" s="126"/>
      <c r="T8" s="139" t="str">
        <f>IF(P8="","限8字",IF(LENB(P8)/2&lt;=8,"OK","超過"))</f>
        <v>OK</v>
      </c>
      <c r="V8" s="145"/>
      <c r="Y8" s="146"/>
      <c r="Z8" s="145"/>
      <c r="AC8" s="146"/>
      <c r="AD8" s="145"/>
      <c r="AG8" s="146"/>
      <c r="AI8" s="137" t="s">
        <v>124</v>
      </c>
      <c r="AJ8" s="144" t="str">
        <f t="shared" si="1"/>
        <v>OK</v>
      </c>
      <c r="AK8" s="123"/>
      <c r="AL8" s="123"/>
      <c r="AM8" s="126"/>
      <c r="AN8" s="139" t="str">
        <f t="shared" si="2"/>
        <v>確認無誤</v>
      </c>
      <c r="AO8" s="137" t="s">
        <v>124</v>
      </c>
      <c r="AP8" s="144" t="str">
        <f t="shared" si="3"/>
        <v>OK</v>
      </c>
      <c r="AQ8" s="123"/>
      <c r="AR8" s="123"/>
      <c r="AS8" s="126"/>
      <c r="AT8" s="139" t="str">
        <f t="shared" si="4"/>
        <v>確認無誤</v>
      </c>
      <c r="AU8" s="137" t="s">
        <v>124</v>
      </c>
      <c r="AV8" s="144" t="str">
        <f t="shared" si="5"/>
        <v>OK</v>
      </c>
      <c r="AW8" s="123"/>
      <c r="AX8" s="123"/>
      <c r="AY8" s="126"/>
      <c r="AZ8" s="139" t="str">
        <f t="shared" si="6"/>
        <v>確認無誤</v>
      </c>
    </row>
    <row r="9" ht="21.75" customHeight="1">
      <c r="C9" s="137" t="s">
        <v>128</v>
      </c>
      <c r="D9" s="138" t="s">
        <v>129</v>
      </c>
      <c r="E9" s="123"/>
      <c r="F9" s="123"/>
      <c r="G9" s="126"/>
      <c r="H9" s="139" t="str">
        <f>IF(D9="","限10字",IF(LENB(D9)/2&lt;=10,"OK","超過"))</f>
        <v>OK</v>
      </c>
      <c r="I9" s="137" t="s">
        <v>128</v>
      </c>
      <c r="J9" s="138" t="s">
        <v>130</v>
      </c>
      <c r="K9" s="123"/>
      <c r="L9" s="123"/>
      <c r="M9" s="126"/>
      <c r="N9" s="139" t="str">
        <f>IF(J9="","限10字",IF(LENB(J9)/2&lt;=10,"OK","超過"))</f>
        <v>OK</v>
      </c>
      <c r="O9" s="137"/>
      <c r="P9" s="137"/>
      <c r="Q9" s="137"/>
      <c r="R9" s="137"/>
      <c r="S9" s="137"/>
      <c r="T9" s="147"/>
      <c r="V9" s="145"/>
      <c r="Y9" s="146"/>
      <c r="Z9" s="145"/>
      <c r="AC9" s="146"/>
      <c r="AD9" s="145"/>
      <c r="AG9" s="146"/>
      <c r="AI9" s="137" t="s">
        <v>128</v>
      </c>
      <c r="AJ9" s="144" t="str">
        <f t="shared" si="1"/>
        <v>OK</v>
      </c>
      <c r="AK9" s="123"/>
      <c r="AL9" s="123"/>
      <c r="AM9" s="126"/>
      <c r="AN9" s="139" t="str">
        <f t="shared" si="2"/>
        <v>確認無誤</v>
      </c>
      <c r="AO9" s="137" t="s">
        <v>128</v>
      </c>
      <c r="AP9" s="144" t="str">
        <f t="shared" si="3"/>
        <v>OK</v>
      </c>
      <c r="AQ9" s="123"/>
      <c r="AR9" s="123"/>
      <c r="AS9" s="126"/>
      <c r="AT9" s="139" t="str">
        <f t="shared" si="4"/>
        <v>確認無誤</v>
      </c>
      <c r="AU9" s="137"/>
      <c r="AV9" s="148"/>
      <c r="AW9" s="148"/>
      <c r="AX9" s="148"/>
      <c r="AY9" s="148"/>
      <c r="AZ9" s="147"/>
    </row>
    <row r="10" ht="21.75" customHeight="1"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</row>
    <row r="11" ht="21.75" customHeight="1"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I11" s="151"/>
      <c r="AJ11" s="151"/>
      <c r="AK11" s="151"/>
      <c r="AL11" s="151"/>
      <c r="AM11" s="151"/>
      <c r="AN11" s="151"/>
      <c r="AO11" s="151"/>
      <c r="AP11" s="151"/>
      <c r="AQ11" s="151"/>
      <c r="AR11" s="151"/>
      <c r="AS11" s="151"/>
      <c r="AT11" s="151"/>
      <c r="AU11" s="151"/>
      <c r="AV11" s="151"/>
      <c r="AW11" s="151"/>
      <c r="AX11" s="151"/>
      <c r="AY11" s="151"/>
      <c r="AZ11" s="151"/>
    </row>
    <row r="12" ht="21.75" customHeight="1"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I12" s="151"/>
      <c r="AJ12" s="151"/>
      <c r="AK12" s="151"/>
      <c r="AL12" s="151"/>
      <c r="AM12" s="151"/>
      <c r="AN12" s="151"/>
      <c r="AO12" s="151"/>
      <c r="AP12" s="151"/>
      <c r="AQ12" s="151"/>
      <c r="AR12" s="151"/>
      <c r="AS12" s="151"/>
      <c r="AT12" s="151"/>
      <c r="AU12" s="151"/>
      <c r="AV12" s="151"/>
      <c r="AW12" s="151"/>
      <c r="AX12" s="151"/>
      <c r="AY12" s="151"/>
      <c r="AZ12" s="151"/>
    </row>
    <row r="14" ht="22.5" customHeight="1">
      <c r="A14" s="131" t="s">
        <v>131</v>
      </c>
      <c r="B14" s="132" t="s">
        <v>132</v>
      </c>
      <c r="C14" s="133" t="s">
        <v>133</v>
      </c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6"/>
      <c r="V14" s="153" t="s">
        <v>133</v>
      </c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6"/>
      <c r="AI14" s="133" t="s">
        <v>133</v>
      </c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123"/>
      <c r="AW14" s="123"/>
      <c r="AX14" s="123"/>
      <c r="AY14" s="123"/>
      <c r="AZ14" s="126"/>
    </row>
    <row r="15" ht="21.75" customHeight="1">
      <c r="C15" s="137" t="s">
        <v>116</v>
      </c>
      <c r="D15" s="154" t="s">
        <v>134</v>
      </c>
      <c r="E15" s="123"/>
      <c r="F15" s="123"/>
      <c r="G15" s="123"/>
      <c r="H15" s="123"/>
      <c r="I15" s="123"/>
      <c r="J15" s="126"/>
      <c r="K15" s="139" t="str">
        <f>IF(D15="","限6字",IF(LENB(D15)/2&lt;=6,"OK","超過"))</f>
        <v>OK</v>
      </c>
      <c r="L15" s="137" t="s">
        <v>116</v>
      </c>
      <c r="M15" s="154" t="s">
        <v>135</v>
      </c>
      <c r="N15" s="123"/>
      <c r="O15" s="123"/>
      <c r="P15" s="123"/>
      <c r="Q15" s="123"/>
      <c r="R15" s="123"/>
      <c r="S15" s="126"/>
      <c r="T15" s="139" t="str">
        <f>IF(M15="","限6字",IF(LENB(M15)/2&lt;=6,"OK","超過"))</f>
        <v>OK</v>
      </c>
      <c r="V15" s="141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3"/>
      <c r="AI15" s="137" t="s">
        <v>116</v>
      </c>
      <c r="AJ15" s="155" t="str">
        <f t="shared" ref="AJ15:AJ17" si="7">IF(AI15="OK","確認無誤",IF(AI15="","待填","OK"))</f>
        <v>OK</v>
      </c>
      <c r="AK15" s="123"/>
      <c r="AL15" s="123"/>
      <c r="AM15" s="123"/>
      <c r="AN15" s="123"/>
      <c r="AO15" s="123"/>
      <c r="AP15" s="126"/>
      <c r="AQ15" s="139" t="str">
        <f t="shared" ref="AQ15:AQ17" si="8">IF(AJ15="OK","確認無誤",IF(AJ15="","待填","OK"))</f>
        <v>確認無誤</v>
      </c>
      <c r="AR15" s="137" t="s">
        <v>116</v>
      </c>
      <c r="AS15" s="155" t="str">
        <f t="shared" ref="AS15:AS17" si="9">IF(AR15="OK","確認無誤",IF(AR15="","待填","OK"))</f>
        <v>OK</v>
      </c>
      <c r="AT15" s="123"/>
      <c r="AU15" s="123"/>
      <c r="AV15" s="123"/>
      <c r="AW15" s="123"/>
      <c r="AX15" s="123"/>
      <c r="AY15" s="126"/>
      <c r="AZ15" s="139" t="str">
        <f t="shared" ref="AZ15:AZ17" si="10">IF(AS15="OK","確認無誤",IF(AS15="","待填","OK"))</f>
        <v>確認無誤</v>
      </c>
    </row>
    <row r="16" ht="21.75" customHeight="1">
      <c r="C16" s="137" t="s">
        <v>124</v>
      </c>
      <c r="D16" s="154" t="s">
        <v>136</v>
      </c>
      <c r="E16" s="123"/>
      <c r="F16" s="123"/>
      <c r="G16" s="123"/>
      <c r="H16" s="123"/>
      <c r="I16" s="123"/>
      <c r="J16" s="126"/>
      <c r="K16" s="139" t="str">
        <f t="shared" ref="K16:K17" si="11">IF(D16="","限8字",IF(LENB(D16)/2&lt;=8,"OK","超過"))</f>
        <v>OK</v>
      </c>
      <c r="L16" s="137" t="s">
        <v>124</v>
      </c>
      <c r="M16" s="154" t="s">
        <v>137</v>
      </c>
      <c r="N16" s="123"/>
      <c r="O16" s="123"/>
      <c r="P16" s="123"/>
      <c r="Q16" s="123"/>
      <c r="R16" s="123"/>
      <c r="S16" s="126"/>
      <c r="T16" s="139" t="str">
        <f t="shared" ref="T16:T17" si="12">IF(M16="","限8字",IF(LENB(M16)/2&lt;=8,"OK","超過"))</f>
        <v>OK</v>
      </c>
      <c r="V16" s="145"/>
      <c r="AG16" s="146"/>
      <c r="AI16" s="137" t="s">
        <v>124</v>
      </c>
      <c r="AJ16" s="155" t="str">
        <f t="shared" si="7"/>
        <v>OK</v>
      </c>
      <c r="AK16" s="123"/>
      <c r="AL16" s="123"/>
      <c r="AM16" s="123"/>
      <c r="AN16" s="123"/>
      <c r="AO16" s="123"/>
      <c r="AP16" s="126"/>
      <c r="AQ16" s="139" t="str">
        <f t="shared" si="8"/>
        <v>確認無誤</v>
      </c>
      <c r="AR16" s="137" t="s">
        <v>124</v>
      </c>
      <c r="AS16" s="155" t="str">
        <f t="shared" si="9"/>
        <v>OK</v>
      </c>
      <c r="AT16" s="123"/>
      <c r="AU16" s="123"/>
      <c r="AV16" s="123"/>
      <c r="AW16" s="123"/>
      <c r="AX16" s="123"/>
      <c r="AY16" s="126"/>
      <c r="AZ16" s="139" t="str">
        <f t="shared" si="10"/>
        <v>確認無誤</v>
      </c>
    </row>
    <row r="17" ht="21.75" customHeight="1">
      <c r="C17" s="137" t="s">
        <v>124</v>
      </c>
      <c r="D17" s="154" t="s">
        <v>138</v>
      </c>
      <c r="E17" s="123"/>
      <c r="F17" s="123"/>
      <c r="G17" s="123"/>
      <c r="H17" s="123"/>
      <c r="I17" s="123"/>
      <c r="J17" s="126"/>
      <c r="K17" s="139" t="str">
        <f t="shared" si="11"/>
        <v>OK</v>
      </c>
      <c r="L17" s="137" t="s">
        <v>124</v>
      </c>
      <c r="M17" s="154" t="s">
        <v>127</v>
      </c>
      <c r="N17" s="123"/>
      <c r="O17" s="123"/>
      <c r="P17" s="123"/>
      <c r="Q17" s="123"/>
      <c r="R17" s="123"/>
      <c r="S17" s="126"/>
      <c r="T17" s="139" t="str">
        <f t="shared" si="12"/>
        <v>OK</v>
      </c>
      <c r="V17" s="145"/>
      <c r="AG17" s="146"/>
      <c r="AI17" s="137" t="s">
        <v>124</v>
      </c>
      <c r="AJ17" s="155" t="str">
        <f t="shared" si="7"/>
        <v>OK</v>
      </c>
      <c r="AK17" s="123"/>
      <c r="AL17" s="123"/>
      <c r="AM17" s="123"/>
      <c r="AN17" s="123"/>
      <c r="AO17" s="123"/>
      <c r="AP17" s="126"/>
      <c r="AQ17" s="139" t="str">
        <f t="shared" si="8"/>
        <v>確認無誤</v>
      </c>
      <c r="AR17" s="137" t="s">
        <v>124</v>
      </c>
      <c r="AS17" s="155" t="str">
        <f t="shared" si="9"/>
        <v>OK</v>
      </c>
      <c r="AT17" s="123"/>
      <c r="AU17" s="123"/>
      <c r="AV17" s="123"/>
      <c r="AW17" s="123"/>
      <c r="AX17" s="123"/>
      <c r="AY17" s="126"/>
      <c r="AZ17" s="139" t="str">
        <f t="shared" si="10"/>
        <v>確認無誤</v>
      </c>
    </row>
    <row r="18" ht="21.75" customHeight="1">
      <c r="C18" s="137" t="s">
        <v>38</v>
      </c>
      <c r="D18" s="156" t="s">
        <v>139</v>
      </c>
      <c r="E18" s="123"/>
      <c r="F18" s="123"/>
      <c r="G18" s="123"/>
      <c r="H18" s="123"/>
      <c r="I18" s="123"/>
      <c r="J18" s="126"/>
      <c r="K18" s="157" t="s">
        <v>140</v>
      </c>
      <c r="L18" s="137" t="s">
        <v>38</v>
      </c>
      <c r="M18" s="156" t="s">
        <v>139</v>
      </c>
      <c r="N18" s="123"/>
      <c r="O18" s="123"/>
      <c r="P18" s="123"/>
      <c r="Q18" s="123"/>
      <c r="R18" s="123"/>
      <c r="S18" s="126"/>
      <c r="T18" s="157" t="s">
        <v>140</v>
      </c>
      <c r="V18" s="145"/>
      <c r="AG18" s="146"/>
      <c r="AI18" s="137" t="s">
        <v>38</v>
      </c>
      <c r="AJ18" s="156" t="s">
        <v>139</v>
      </c>
      <c r="AK18" s="123"/>
      <c r="AL18" s="123"/>
      <c r="AM18" s="123"/>
      <c r="AN18" s="123"/>
      <c r="AO18" s="123"/>
      <c r="AP18" s="126"/>
      <c r="AQ18" s="157" t="s">
        <v>140</v>
      </c>
      <c r="AR18" s="137" t="s">
        <v>38</v>
      </c>
      <c r="AS18" s="156" t="s">
        <v>139</v>
      </c>
      <c r="AT18" s="123"/>
      <c r="AU18" s="123"/>
      <c r="AV18" s="123"/>
      <c r="AW18" s="123"/>
      <c r="AX18" s="123"/>
      <c r="AY18" s="126"/>
      <c r="AZ18" s="157" t="s">
        <v>140</v>
      </c>
    </row>
    <row r="19" ht="21.75" customHeight="1">
      <c r="C19" s="137" t="s">
        <v>120</v>
      </c>
      <c r="D19" s="154" t="s">
        <v>121</v>
      </c>
      <c r="E19" s="123"/>
      <c r="F19" s="123"/>
      <c r="G19" s="123"/>
      <c r="H19" s="123"/>
      <c r="I19" s="123"/>
      <c r="J19" s="126"/>
      <c r="K19" s="139" t="str">
        <f t="shared" ref="K19:K20" si="13">IF(D19="","待填","OK")</f>
        <v>OK</v>
      </c>
      <c r="L19" s="137" t="s">
        <v>120</v>
      </c>
      <c r="M19" s="154" t="s">
        <v>141</v>
      </c>
      <c r="N19" s="123"/>
      <c r="O19" s="123"/>
      <c r="P19" s="123"/>
      <c r="Q19" s="123"/>
      <c r="R19" s="123"/>
      <c r="S19" s="126"/>
      <c r="T19" s="139" t="str">
        <f t="shared" ref="T19:T20" si="14">IF(M19="","待填","OK")</f>
        <v>OK</v>
      </c>
      <c r="V19" s="145"/>
      <c r="AG19" s="146"/>
      <c r="AI19" s="137" t="s">
        <v>120</v>
      </c>
      <c r="AJ19" s="155" t="str">
        <f t="shared" ref="AJ19:AJ21" si="15">IF(AI19="OK","確認無誤",IF(AI19="","待填","OK"))</f>
        <v>OK</v>
      </c>
      <c r="AK19" s="123"/>
      <c r="AL19" s="123"/>
      <c r="AM19" s="123"/>
      <c r="AN19" s="123"/>
      <c r="AO19" s="123"/>
      <c r="AP19" s="126"/>
      <c r="AQ19" s="139" t="str">
        <f t="shared" ref="AQ19:AQ20" si="16">IF(AJ19="OK","確認無誤",IF(AJ19="","待填","OK"))</f>
        <v>確認無誤</v>
      </c>
      <c r="AR19" s="137" t="s">
        <v>120</v>
      </c>
      <c r="AS19" s="155" t="str">
        <f t="shared" ref="AS19:AS20" si="17">IF(AR19="OK","確認無誤",IF(AR19="","待填","OK"))</f>
        <v>OK</v>
      </c>
      <c r="AT19" s="123"/>
      <c r="AU19" s="123"/>
      <c r="AV19" s="123"/>
      <c r="AW19" s="123"/>
      <c r="AX19" s="123"/>
      <c r="AY19" s="126"/>
      <c r="AZ19" s="139" t="str">
        <f t="shared" ref="AZ19:AZ20" si="18">IF(AS19="OK","確認無誤",IF(AS19="","待填","OK"))</f>
        <v>確認無誤</v>
      </c>
    </row>
    <row r="20" ht="21.75" customHeight="1">
      <c r="C20" s="137" t="s">
        <v>142</v>
      </c>
      <c r="D20" s="154"/>
      <c r="E20" s="123"/>
      <c r="F20" s="123"/>
      <c r="G20" s="123"/>
      <c r="H20" s="123"/>
      <c r="I20" s="123"/>
      <c r="J20" s="126"/>
      <c r="K20" s="139" t="str">
        <f t="shared" si="13"/>
        <v>待填</v>
      </c>
      <c r="L20" s="137" t="s">
        <v>142</v>
      </c>
      <c r="M20" s="154"/>
      <c r="N20" s="123"/>
      <c r="O20" s="123"/>
      <c r="P20" s="123"/>
      <c r="Q20" s="123"/>
      <c r="R20" s="123"/>
      <c r="S20" s="126"/>
      <c r="T20" s="139" t="str">
        <f t="shared" si="14"/>
        <v>待填</v>
      </c>
      <c r="V20" s="158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60"/>
      <c r="AI20" s="137" t="s">
        <v>142</v>
      </c>
      <c r="AJ20" s="155" t="str">
        <f t="shared" si="15"/>
        <v>OK</v>
      </c>
      <c r="AK20" s="123"/>
      <c r="AL20" s="123"/>
      <c r="AM20" s="123"/>
      <c r="AN20" s="123"/>
      <c r="AO20" s="123"/>
      <c r="AP20" s="126"/>
      <c r="AQ20" s="139" t="str">
        <f t="shared" si="16"/>
        <v>確認無誤</v>
      </c>
      <c r="AR20" s="137" t="s">
        <v>142</v>
      </c>
      <c r="AS20" s="155" t="str">
        <f t="shared" si="17"/>
        <v>OK</v>
      </c>
      <c r="AT20" s="123"/>
      <c r="AU20" s="123"/>
      <c r="AV20" s="123"/>
      <c r="AW20" s="123"/>
      <c r="AX20" s="123"/>
      <c r="AY20" s="126"/>
      <c r="AZ20" s="139" t="str">
        <f t="shared" si="18"/>
        <v>確認無誤</v>
      </c>
    </row>
    <row r="21" ht="21.75" customHeight="1">
      <c r="C21" s="137" t="s">
        <v>143</v>
      </c>
      <c r="D21" s="154" t="s">
        <v>144</v>
      </c>
      <c r="E21" s="123"/>
      <c r="F21" s="123"/>
      <c r="G21" s="123"/>
      <c r="H21" s="123"/>
      <c r="I21" s="123"/>
      <c r="J21" s="126"/>
      <c r="K21" s="139" t="str">
        <f>IF(D21="","限5字",IF(LENB(D21)/2&lt;=5,"OK","超過"))</f>
        <v>OK</v>
      </c>
      <c r="L21" s="137" t="s">
        <v>143</v>
      </c>
      <c r="M21" s="154" t="s">
        <v>145</v>
      </c>
      <c r="N21" s="123"/>
      <c r="O21" s="123"/>
      <c r="P21" s="123"/>
      <c r="Q21" s="123"/>
      <c r="R21" s="123"/>
      <c r="S21" s="126"/>
      <c r="T21" s="139" t="str">
        <f>IF(M21="","限5字",IF(LENB(M21)/2&lt;=5,"OK","超過"))</f>
        <v>OK</v>
      </c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I21" s="137" t="s">
        <v>143</v>
      </c>
      <c r="AJ21" s="155" t="str">
        <f t="shared" si="15"/>
        <v>OK</v>
      </c>
      <c r="AK21" s="123"/>
      <c r="AL21" s="123"/>
      <c r="AM21" s="123"/>
      <c r="AN21" s="123"/>
      <c r="AO21" s="123"/>
      <c r="AP21" s="126"/>
      <c r="AQ21" s="139" t="str">
        <f>IF(AJ21="OK","確認無誤",IF(AJ21="","限5字",IF(LENB(AJ21)/2&lt;=5,"OK","超過")))</f>
        <v>確認無誤</v>
      </c>
      <c r="AR21" s="137" t="s">
        <v>143</v>
      </c>
      <c r="AS21" s="155" t="str">
        <f>IF(AR21="OK","確認無誤",IF(AR21="","限5字",IF(LENB(AR21)/2&lt;=5,"OK","超過")))</f>
        <v>OK</v>
      </c>
      <c r="AT21" s="123"/>
      <c r="AU21" s="123"/>
      <c r="AV21" s="123"/>
      <c r="AW21" s="123"/>
      <c r="AX21" s="123"/>
      <c r="AY21" s="126"/>
      <c r="AZ21" s="139" t="str">
        <f>IF(AS21="OK","確認無誤",IF(AS21="","限5字",IF(LENB(AS21)/2&lt;=5,"OK","超過")))</f>
        <v>確認無誤</v>
      </c>
    </row>
    <row r="23" ht="22.5" customHeight="1">
      <c r="A23" s="131" t="s">
        <v>131</v>
      </c>
      <c r="B23" s="132" t="s">
        <v>146</v>
      </c>
      <c r="C23" s="133" t="s">
        <v>133</v>
      </c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6"/>
      <c r="V23" s="153" t="s">
        <v>133</v>
      </c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6"/>
      <c r="AI23" s="133" t="s">
        <v>133</v>
      </c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3"/>
      <c r="AX23" s="123"/>
      <c r="AY23" s="123"/>
      <c r="AZ23" s="126"/>
    </row>
    <row r="24" ht="21.75" customHeight="1">
      <c r="C24" s="137" t="s">
        <v>116</v>
      </c>
      <c r="D24" s="154" t="s">
        <v>147</v>
      </c>
      <c r="E24" s="123"/>
      <c r="F24" s="123"/>
      <c r="G24" s="123"/>
      <c r="H24" s="123"/>
      <c r="I24" s="123"/>
      <c r="J24" s="126"/>
      <c r="K24" s="139" t="str">
        <f>IF(D24="","限6字",IF(LENB(D24)/2&lt;=6,"OK","超過"))</f>
        <v>OK</v>
      </c>
      <c r="L24" s="137" t="s">
        <v>116</v>
      </c>
      <c r="M24" s="154" t="s">
        <v>148</v>
      </c>
      <c r="N24" s="123"/>
      <c r="O24" s="123"/>
      <c r="P24" s="123"/>
      <c r="Q24" s="123"/>
      <c r="R24" s="123"/>
      <c r="S24" s="126"/>
      <c r="T24" s="139" t="str">
        <f>IF(M24="","限6字",IF(LENB(M24)/2&lt;=6,"OK","超過"))</f>
        <v>OK</v>
      </c>
      <c r="V24" s="141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3"/>
      <c r="AI24" s="137" t="s">
        <v>116</v>
      </c>
      <c r="AJ24" s="155" t="str">
        <f t="shared" ref="AJ24:AJ26" si="19">IF(AI24="OK","確認無誤",IF(AI24="","待填","OK"))</f>
        <v>OK</v>
      </c>
      <c r="AK24" s="123"/>
      <c r="AL24" s="123"/>
      <c r="AM24" s="123"/>
      <c r="AN24" s="123"/>
      <c r="AO24" s="123"/>
      <c r="AP24" s="126"/>
      <c r="AQ24" s="139" t="str">
        <f t="shared" ref="AQ24:AQ26" si="20">IF(AJ24="OK","確認無誤",IF(AJ24="","待填","OK"))</f>
        <v>確認無誤</v>
      </c>
      <c r="AR24" s="137" t="s">
        <v>116</v>
      </c>
      <c r="AS24" s="155" t="str">
        <f t="shared" ref="AS24:AS26" si="21">IF(AR24="OK","確認無誤",IF(AR24="","待填","OK"))</f>
        <v>OK</v>
      </c>
      <c r="AT24" s="123"/>
      <c r="AU24" s="123"/>
      <c r="AV24" s="123"/>
      <c r="AW24" s="123"/>
      <c r="AX24" s="123"/>
      <c r="AY24" s="126"/>
      <c r="AZ24" s="139" t="str">
        <f t="shared" ref="AZ24:AZ26" si="22">IF(AS24="OK","確認無誤",IF(AS24="","待填","OK"))</f>
        <v>確認無誤</v>
      </c>
    </row>
    <row r="25" ht="21.75" customHeight="1">
      <c r="C25" s="137" t="s">
        <v>124</v>
      </c>
      <c r="D25" s="161" t="s">
        <v>149</v>
      </c>
      <c r="E25" s="123"/>
      <c r="F25" s="123"/>
      <c r="G25" s="123"/>
      <c r="H25" s="123"/>
      <c r="I25" s="123"/>
      <c r="J25" s="126"/>
      <c r="K25" s="139" t="str">
        <f t="shared" ref="K25:K26" si="23">IF(D25="","限8字",IF(LENB(D25)/2&lt;=8,"OK","超過"))</f>
        <v>OK</v>
      </c>
      <c r="L25" s="137" t="s">
        <v>124</v>
      </c>
      <c r="M25" s="154" t="s">
        <v>150</v>
      </c>
      <c r="N25" s="123"/>
      <c r="O25" s="123"/>
      <c r="P25" s="123"/>
      <c r="Q25" s="123"/>
      <c r="R25" s="123"/>
      <c r="S25" s="126"/>
      <c r="T25" s="139" t="str">
        <f t="shared" ref="T25:T26" si="24">IF(M25="","限8字",IF(LENB(M25)/2&lt;=8,"OK","超過"))</f>
        <v>OK</v>
      </c>
      <c r="V25" s="145"/>
      <c r="AG25" s="146"/>
      <c r="AI25" s="137" t="s">
        <v>124</v>
      </c>
      <c r="AJ25" s="155" t="str">
        <f t="shared" si="19"/>
        <v>OK</v>
      </c>
      <c r="AK25" s="123"/>
      <c r="AL25" s="123"/>
      <c r="AM25" s="123"/>
      <c r="AN25" s="123"/>
      <c r="AO25" s="123"/>
      <c r="AP25" s="126"/>
      <c r="AQ25" s="139" t="str">
        <f t="shared" si="20"/>
        <v>確認無誤</v>
      </c>
      <c r="AR25" s="137" t="s">
        <v>124</v>
      </c>
      <c r="AS25" s="155" t="str">
        <f t="shared" si="21"/>
        <v>OK</v>
      </c>
      <c r="AT25" s="123"/>
      <c r="AU25" s="123"/>
      <c r="AV25" s="123"/>
      <c r="AW25" s="123"/>
      <c r="AX25" s="123"/>
      <c r="AY25" s="126"/>
      <c r="AZ25" s="139" t="str">
        <f t="shared" si="22"/>
        <v>確認無誤</v>
      </c>
    </row>
    <row r="26" ht="21.75" customHeight="1">
      <c r="C26" s="137" t="s">
        <v>124</v>
      </c>
      <c r="D26" s="154" t="s">
        <v>151</v>
      </c>
      <c r="E26" s="123"/>
      <c r="F26" s="123"/>
      <c r="G26" s="123"/>
      <c r="H26" s="123"/>
      <c r="I26" s="123"/>
      <c r="J26" s="126"/>
      <c r="K26" s="139" t="str">
        <f t="shared" si="23"/>
        <v>OK</v>
      </c>
      <c r="L26" s="137" t="s">
        <v>124</v>
      </c>
      <c r="M26" s="161" t="s">
        <v>152</v>
      </c>
      <c r="N26" s="123"/>
      <c r="O26" s="123"/>
      <c r="P26" s="123"/>
      <c r="Q26" s="123"/>
      <c r="R26" s="123"/>
      <c r="S26" s="126"/>
      <c r="T26" s="139" t="str">
        <f t="shared" si="24"/>
        <v>OK</v>
      </c>
      <c r="V26" s="145"/>
      <c r="AG26" s="146"/>
      <c r="AI26" s="137" t="s">
        <v>124</v>
      </c>
      <c r="AJ26" s="155" t="str">
        <f t="shared" si="19"/>
        <v>OK</v>
      </c>
      <c r="AK26" s="123"/>
      <c r="AL26" s="123"/>
      <c r="AM26" s="123"/>
      <c r="AN26" s="123"/>
      <c r="AO26" s="123"/>
      <c r="AP26" s="126"/>
      <c r="AQ26" s="139" t="str">
        <f t="shared" si="20"/>
        <v>確認無誤</v>
      </c>
      <c r="AR26" s="137" t="s">
        <v>124</v>
      </c>
      <c r="AS26" s="155" t="str">
        <f t="shared" si="21"/>
        <v>OK</v>
      </c>
      <c r="AT26" s="123"/>
      <c r="AU26" s="123"/>
      <c r="AV26" s="123"/>
      <c r="AW26" s="123"/>
      <c r="AX26" s="123"/>
      <c r="AY26" s="126"/>
      <c r="AZ26" s="139" t="str">
        <f t="shared" si="22"/>
        <v>確認無誤</v>
      </c>
    </row>
    <row r="27" ht="21.75" customHeight="1">
      <c r="C27" s="137" t="s">
        <v>38</v>
      </c>
      <c r="D27" s="156" t="s">
        <v>139</v>
      </c>
      <c r="E27" s="123"/>
      <c r="F27" s="123"/>
      <c r="G27" s="123"/>
      <c r="H27" s="123"/>
      <c r="I27" s="123"/>
      <c r="J27" s="126"/>
      <c r="K27" s="157" t="s">
        <v>140</v>
      </c>
      <c r="L27" s="137" t="s">
        <v>38</v>
      </c>
      <c r="M27" s="156" t="s">
        <v>139</v>
      </c>
      <c r="N27" s="123"/>
      <c r="O27" s="123"/>
      <c r="P27" s="123"/>
      <c r="Q27" s="123"/>
      <c r="R27" s="123"/>
      <c r="S27" s="126"/>
      <c r="T27" s="157" t="s">
        <v>140</v>
      </c>
      <c r="V27" s="145"/>
      <c r="AG27" s="146"/>
      <c r="AI27" s="137" t="s">
        <v>38</v>
      </c>
      <c r="AJ27" s="156" t="s">
        <v>139</v>
      </c>
      <c r="AK27" s="123"/>
      <c r="AL27" s="123"/>
      <c r="AM27" s="123"/>
      <c r="AN27" s="123"/>
      <c r="AO27" s="123"/>
      <c r="AP27" s="126"/>
      <c r="AQ27" s="157" t="s">
        <v>140</v>
      </c>
      <c r="AR27" s="137" t="s">
        <v>38</v>
      </c>
      <c r="AS27" s="156" t="s">
        <v>139</v>
      </c>
      <c r="AT27" s="123"/>
      <c r="AU27" s="123"/>
      <c r="AV27" s="123"/>
      <c r="AW27" s="123"/>
      <c r="AX27" s="123"/>
      <c r="AY27" s="126"/>
      <c r="AZ27" s="157" t="s">
        <v>140</v>
      </c>
    </row>
    <row r="28" ht="21.75" customHeight="1">
      <c r="C28" s="137" t="s">
        <v>120</v>
      </c>
      <c r="D28" s="154" t="s">
        <v>122</v>
      </c>
      <c r="E28" s="123"/>
      <c r="F28" s="123"/>
      <c r="G28" s="123"/>
      <c r="H28" s="123"/>
      <c r="I28" s="123"/>
      <c r="J28" s="126"/>
      <c r="K28" s="139" t="str">
        <f t="shared" ref="K28:K29" si="25">IF(D28="","待填","OK")</f>
        <v>OK</v>
      </c>
      <c r="L28" s="137" t="s">
        <v>120</v>
      </c>
      <c r="M28" s="154" t="s">
        <v>153</v>
      </c>
      <c r="N28" s="123"/>
      <c r="O28" s="123"/>
      <c r="P28" s="123"/>
      <c r="Q28" s="123"/>
      <c r="R28" s="123"/>
      <c r="S28" s="126"/>
      <c r="T28" s="139" t="str">
        <f t="shared" ref="T28:T29" si="26">IF(M28="","待填","OK")</f>
        <v>OK</v>
      </c>
      <c r="V28" s="145"/>
      <c r="AG28" s="146"/>
      <c r="AI28" s="137" t="s">
        <v>120</v>
      </c>
      <c r="AJ28" s="155" t="str">
        <f t="shared" ref="AJ28:AJ30" si="27">IF(AI28="OK","確認無誤",IF(AI28="","待填","OK"))</f>
        <v>OK</v>
      </c>
      <c r="AK28" s="123"/>
      <c r="AL28" s="123"/>
      <c r="AM28" s="123"/>
      <c r="AN28" s="123"/>
      <c r="AO28" s="123"/>
      <c r="AP28" s="126"/>
      <c r="AQ28" s="139" t="str">
        <f t="shared" ref="AQ28:AQ29" si="28">IF(AJ28="OK","確認無誤",IF(AJ28="","待填","OK"))</f>
        <v>確認無誤</v>
      </c>
      <c r="AR28" s="137" t="s">
        <v>120</v>
      </c>
      <c r="AS28" s="155" t="str">
        <f t="shared" ref="AS28:AS29" si="29">IF(AR28="OK","確認無誤",IF(AR28="","待填","OK"))</f>
        <v>OK</v>
      </c>
      <c r="AT28" s="123"/>
      <c r="AU28" s="123"/>
      <c r="AV28" s="123"/>
      <c r="AW28" s="123"/>
      <c r="AX28" s="123"/>
      <c r="AY28" s="126"/>
      <c r="AZ28" s="139" t="str">
        <f t="shared" ref="AZ28:AZ29" si="30">IF(AS28="OK","確認無誤",IF(AS28="","待填","OK"))</f>
        <v>確認無誤</v>
      </c>
    </row>
    <row r="29" ht="21.75" customHeight="1">
      <c r="C29" s="137" t="s">
        <v>142</v>
      </c>
      <c r="D29" s="154"/>
      <c r="E29" s="123"/>
      <c r="F29" s="123"/>
      <c r="G29" s="123"/>
      <c r="H29" s="123"/>
      <c r="I29" s="123"/>
      <c r="J29" s="126"/>
      <c r="K29" s="139" t="str">
        <f t="shared" si="25"/>
        <v>待填</v>
      </c>
      <c r="L29" s="137" t="s">
        <v>142</v>
      </c>
      <c r="M29" s="154"/>
      <c r="N29" s="123"/>
      <c r="O29" s="123"/>
      <c r="P29" s="123"/>
      <c r="Q29" s="123"/>
      <c r="R29" s="123"/>
      <c r="S29" s="126"/>
      <c r="T29" s="139" t="str">
        <f t="shared" si="26"/>
        <v>待填</v>
      </c>
      <c r="V29" s="158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60"/>
      <c r="AI29" s="137" t="s">
        <v>142</v>
      </c>
      <c r="AJ29" s="155" t="str">
        <f t="shared" si="27"/>
        <v>OK</v>
      </c>
      <c r="AK29" s="123"/>
      <c r="AL29" s="123"/>
      <c r="AM29" s="123"/>
      <c r="AN29" s="123"/>
      <c r="AO29" s="123"/>
      <c r="AP29" s="126"/>
      <c r="AQ29" s="139" t="str">
        <f t="shared" si="28"/>
        <v>確認無誤</v>
      </c>
      <c r="AR29" s="137" t="s">
        <v>142</v>
      </c>
      <c r="AS29" s="155" t="str">
        <f t="shared" si="29"/>
        <v>OK</v>
      </c>
      <c r="AT29" s="123"/>
      <c r="AU29" s="123"/>
      <c r="AV29" s="123"/>
      <c r="AW29" s="123"/>
      <c r="AX29" s="123"/>
      <c r="AY29" s="126"/>
      <c r="AZ29" s="139" t="str">
        <f t="shared" si="30"/>
        <v>確認無誤</v>
      </c>
    </row>
    <row r="30" ht="21.75" customHeight="1">
      <c r="C30" s="137" t="s">
        <v>143</v>
      </c>
      <c r="D30" s="154" t="s">
        <v>154</v>
      </c>
      <c r="E30" s="123"/>
      <c r="F30" s="123"/>
      <c r="G30" s="123"/>
      <c r="H30" s="123"/>
      <c r="I30" s="123"/>
      <c r="J30" s="126"/>
      <c r="K30" s="139" t="str">
        <f>IF(D30="","限5字",IF(LENB(D30)/2&lt;=5,"OK","超過"))</f>
        <v>OK</v>
      </c>
      <c r="L30" s="137" t="s">
        <v>143</v>
      </c>
      <c r="M30" s="154" t="s">
        <v>155</v>
      </c>
      <c r="N30" s="123"/>
      <c r="O30" s="123"/>
      <c r="P30" s="123"/>
      <c r="Q30" s="123"/>
      <c r="R30" s="123"/>
      <c r="S30" s="126"/>
      <c r="T30" s="139" t="str">
        <f>IF(M30="","限5字",IF(LENB(M30)/2&lt;=5,"OK","超過"))</f>
        <v>OK</v>
      </c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I30" s="137" t="s">
        <v>143</v>
      </c>
      <c r="AJ30" s="155" t="str">
        <f t="shared" si="27"/>
        <v>OK</v>
      </c>
      <c r="AK30" s="123"/>
      <c r="AL30" s="123"/>
      <c r="AM30" s="123"/>
      <c r="AN30" s="123"/>
      <c r="AO30" s="123"/>
      <c r="AP30" s="126"/>
      <c r="AQ30" s="139" t="str">
        <f>IF(AJ30="OK","確認無誤",IF(AJ30="","限5字",IF(LENB(AJ30)/2&lt;=5,"OK","超過")))</f>
        <v>確認無誤</v>
      </c>
      <c r="AR30" s="137" t="s">
        <v>143</v>
      </c>
      <c r="AS30" s="155" t="str">
        <f>IF(AR30="OK","確認無誤",IF(AR30="","限5字",IF(LENB(AR30)/2&lt;=5,"OK","超過")))</f>
        <v>OK</v>
      </c>
      <c r="AT30" s="123"/>
      <c r="AU30" s="123"/>
      <c r="AV30" s="123"/>
      <c r="AW30" s="123"/>
      <c r="AX30" s="123"/>
      <c r="AY30" s="126"/>
      <c r="AZ30" s="139" t="str">
        <f>IF(AS30="OK","確認無誤",IF(AS30="","限5字",IF(LENB(AS30)/2&lt;=5,"OK","超過")))</f>
        <v>確認無誤</v>
      </c>
    </row>
    <row r="32" ht="22.5" customHeight="1">
      <c r="A32" s="131" t="s">
        <v>131</v>
      </c>
      <c r="B32" s="132" t="s">
        <v>156</v>
      </c>
      <c r="C32" s="133" t="s">
        <v>133</v>
      </c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6"/>
      <c r="V32" s="153" t="s">
        <v>133</v>
      </c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6"/>
      <c r="AI32" s="133" t="s">
        <v>133</v>
      </c>
      <c r="AJ32" s="123"/>
      <c r="AK32" s="123"/>
      <c r="AL32" s="123"/>
      <c r="AM32" s="123"/>
      <c r="AN32" s="123"/>
      <c r="AO32" s="123"/>
      <c r="AP32" s="123"/>
      <c r="AQ32" s="123"/>
      <c r="AR32" s="123"/>
      <c r="AS32" s="123"/>
      <c r="AT32" s="123"/>
      <c r="AU32" s="123"/>
      <c r="AV32" s="123"/>
      <c r="AW32" s="123"/>
      <c r="AX32" s="123"/>
      <c r="AY32" s="123"/>
      <c r="AZ32" s="126"/>
    </row>
    <row r="33" ht="21.75" customHeight="1">
      <c r="C33" s="137" t="s">
        <v>116</v>
      </c>
      <c r="D33" s="154" t="s">
        <v>148</v>
      </c>
      <c r="E33" s="123"/>
      <c r="F33" s="123"/>
      <c r="G33" s="123"/>
      <c r="H33" s="123"/>
      <c r="I33" s="123"/>
      <c r="J33" s="126"/>
      <c r="K33" s="139" t="str">
        <f>IF(D33="","限6字",IF(LENB(D33)/2&lt;=6,"OK","超過"))</f>
        <v>OK</v>
      </c>
      <c r="L33" s="137" t="s">
        <v>116</v>
      </c>
      <c r="M33" s="154" t="s">
        <v>157</v>
      </c>
      <c r="N33" s="123"/>
      <c r="O33" s="123"/>
      <c r="P33" s="123"/>
      <c r="Q33" s="123"/>
      <c r="R33" s="123"/>
      <c r="S33" s="126"/>
      <c r="T33" s="139" t="str">
        <f>IF(M33="","限6字",IF(LENB(M33)/2&lt;=6,"OK","超過"))</f>
        <v>OK</v>
      </c>
      <c r="V33" s="141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3"/>
      <c r="AI33" s="137" t="s">
        <v>116</v>
      </c>
      <c r="AJ33" s="155" t="str">
        <f t="shared" ref="AJ33:AJ35" si="31">IF(AI33="OK","確認無誤",IF(AI33="","待填","OK"))</f>
        <v>OK</v>
      </c>
      <c r="AK33" s="123"/>
      <c r="AL33" s="123"/>
      <c r="AM33" s="123"/>
      <c r="AN33" s="123"/>
      <c r="AO33" s="123"/>
      <c r="AP33" s="126"/>
      <c r="AQ33" s="139" t="str">
        <f t="shared" ref="AQ33:AQ35" si="32">IF(AJ33="OK","確認無誤",IF(AJ33="","待填","OK"))</f>
        <v>確認無誤</v>
      </c>
      <c r="AR33" s="137" t="s">
        <v>116</v>
      </c>
      <c r="AS33" s="155" t="str">
        <f t="shared" ref="AS33:AS35" si="33">IF(AR33="OK","確認無誤",IF(AR33="","待填","OK"))</f>
        <v>OK</v>
      </c>
      <c r="AT33" s="123"/>
      <c r="AU33" s="123"/>
      <c r="AV33" s="123"/>
      <c r="AW33" s="123"/>
      <c r="AX33" s="123"/>
      <c r="AY33" s="126"/>
      <c r="AZ33" s="139" t="str">
        <f t="shared" ref="AZ33:AZ35" si="34">IF(AS33="OK","確認無誤",IF(AS33="","待填","OK"))</f>
        <v>確認無誤</v>
      </c>
    </row>
    <row r="34" ht="21.75" customHeight="1">
      <c r="C34" s="137" t="s">
        <v>124</v>
      </c>
      <c r="D34" s="161" t="s">
        <v>158</v>
      </c>
      <c r="E34" s="123"/>
      <c r="F34" s="123"/>
      <c r="G34" s="123"/>
      <c r="H34" s="123"/>
      <c r="I34" s="123"/>
      <c r="J34" s="126"/>
      <c r="K34" s="139" t="str">
        <f t="shared" ref="K34:K35" si="35">IF(D34="","限8字",IF(LENB(D34)/2&lt;=8,"OK","超過"))</f>
        <v>OK</v>
      </c>
      <c r="L34" s="137" t="s">
        <v>124</v>
      </c>
      <c r="M34" s="154" t="s">
        <v>159</v>
      </c>
      <c r="N34" s="123"/>
      <c r="O34" s="123"/>
      <c r="P34" s="123"/>
      <c r="Q34" s="123"/>
      <c r="R34" s="123"/>
      <c r="S34" s="126"/>
      <c r="T34" s="139" t="str">
        <f t="shared" ref="T34:T35" si="36">IF(M34="","限8字",IF(LENB(M34)/2&lt;=8,"OK","超過"))</f>
        <v>OK</v>
      </c>
      <c r="V34" s="145"/>
      <c r="AG34" s="146"/>
      <c r="AI34" s="137" t="s">
        <v>124</v>
      </c>
      <c r="AJ34" s="155" t="str">
        <f t="shared" si="31"/>
        <v>OK</v>
      </c>
      <c r="AK34" s="123"/>
      <c r="AL34" s="123"/>
      <c r="AM34" s="123"/>
      <c r="AN34" s="123"/>
      <c r="AO34" s="123"/>
      <c r="AP34" s="126"/>
      <c r="AQ34" s="139" t="str">
        <f t="shared" si="32"/>
        <v>確認無誤</v>
      </c>
      <c r="AR34" s="137" t="s">
        <v>124</v>
      </c>
      <c r="AS34" s="155" t="str">
        <f t="shared" si="33"/>
        <v>OK</v>
      </c>
      <c r="AT34" s="123"/>
      <c r="AU34" s="123"/>
      <c r="AV34" s="123"/>
      <c r="AW34" s="123"/>
      <c r="AX34" s="123"/>
      <c r="AY34" s="126"/>
      <c r="AZ34" s="139" t="str">
        <f t="shared" si="34"/>
        <v>確認無誤</v>
      </c>
    </row>
    <row r="35" ht="21.75" customHeight="1">
      <c r="C35" s="137" t="s">
        <v>124</v>
      </c>
      <c r="D35" s="154" t="s">
        <v>160</v>
      </c>
      <c r="E35" s="123"/>
      <c r="F35" s="123"/>
      <c r="G35" s="123"/>
      <c r="H35" s="123"/>
      <c r="I35" s="123"/>
      <c r="J35" s="126"/>
      <c r="K35" s="139" t="str">
        <f t="shared" si="35"/>
        <v>OK</v>
      </c>
      <c r="L35" s="137" t="s">
        <v>124</v>
      </c>
      <c r="M35" s="154" t="s">
        <v>161</v>
      </c>
      <c r="N35" s="123"/>
      <c r="O35" s="123"/>
      <c r="P35" s="123"/>
      <c r="Q35" s="123"/>
      <c r="R35" s="123"/>
      <c r="S35" s="126"/>
      <c r="T35" s="139" t="str">
        <f t="shared" si="36"/>
        <v>OK</v>
      </c>
      <c r="V35" s="145"/>
      <c r="AG35" s="146"/>
      <c r="AI35" s="137" t="s">
        <v>124</v>
      </c>
      <c r="AJ35" s="155" t="str">
        <f t="shared" si="31"/>
        <v>OK</v>
      </c>
      <c r="AK35" s="123"/>
      <c r="AL35" s="123"/>
      <c r="AM35" s="123"/>
      <c r="AN35" s="123"/>
      <c r="AO35" s="123"/>
      <c r="AP35" s="126"/>
      <c r="AQ35" s="139" t="str">
        <f t="shared" si="32"/>
        <v>確認無誤</v>
      </c>
      <c r="AR35" s="137" t="s">
        <v>124</v>
      </c>
      <c r="AS35" s="155" t="str">
        <f t="shared" si="33"/>
        <v>OK</v>
      </c>
      <c r="AT35" s="123"/>
      <c r="AU35" s="123"/>
      <c r="AV35" s="123"/>
      <c r="AW35" s="123"/>
      <c r="AX35" s="123"/>
      <c r="AY35" s="126"/>
      <c r="AZ35" s="139" t="str">
        <f t="shared" si="34"/>
        <v>確認無誤</v>
      </c>
    </row>
    <row r="36" ht="21.75" customHeight="1">
      <c r="C36" s="137" t="s">
        <v>38</v>
      </c>
      <c r="D36" s="156" t="s">
        <v>139</v>
      </c>
      <c r="E36" s="123"/>
      <c r="F36" s="123"/>
      <c r="G36" s="123"/>
      <c r="H36" s="123"/>
      <c r="I36" s="123"/>
      <c r="J36" s="126"/>
      <c r="K36" s="157" t="s">
        <v>140</v>
      </c>
      <c r="L36" s="137" t="s">
        <v>38</v>
      </c>
      <c r="M36" s="156" t="s">
        <v>139</v>
      </c>
      <c r="N36" s="123"/>
      <c r="O36" s="123"/>
      <c r="P36" s="123"/>
      <c r="Q36" s="123"/>
      <c r="R36" s="123"/>
      <c r="S36" s="126"/>
      <c r="T36" s="157" t="s">
        <v>140</v>
      </c>
      <c r="V36" s="145"/>
      <c r="AG36" s="146"/>
      <c r="AI36" s="137" t="s">
        <v>38</v>
      </c>
      <c r="AJ36" s="156" t="s">
        <v>139</v>
      </c>
      <c r="AK36" s="123"/>
      <c r="AL36" s="123"/>
      <c r="AM36" s="123"/>
      <c r="AN36" s="123"/>
      <c r="AO36" s="123"/>
      <c r="AP36" s="126"/>
      <c r="AQ36" s="157" t="s">
        <v>140</v>
      </c>
      <c r="AR36" s="137" t="s">
        <v>38</v>
      </c>
      <c r="AS36" s="156" t="s">
        <v>139</v>
      </c>
      <c r="AT36" s="123"/>
      <c r="AU36" s="123"/>
      <c r="AV36" s="123"/>
      <c r="AW36" s="123"/>
      <c r="AX36" s="123"/>
      <c r="AY36" s="126"/>
      <c r="AZ36" s="157" t="s">
        <v>140</v>
      </c>
    </row>
    <row r="37" ht="21.75" customHeight="1">
      <c r="C37" s="137" t="s">
        <v>120</v>
      </c>
      <c r="D37" s="154" t="s">
        <v>162</v>
      </c>
      <c r="E37" s="123"/>
      <c r="F37" s="123"/>
      <c r="G37" s="123"/>
      <c r="H37" s="123"/>
      <c r="I37" s="123"/>
      <c r="J37" s="126"/>
      <c r="K37" s="139" t="str">
        <f t="shared" ref="K37:K38" si="37">IF(D37="","待填","OK")</f>
        <v>OK</v>
      </c>
      <c r="L37" s="137" t="s">
        <v>120</v>
      </c>
      <c r="M37" s="154" t="s">
        <v>163</v>
      </c>
      <c r="N37" s="123"/>
      <c r="O37" s="123"/>
      <c r="P37" s="123"/>
      <c r="Q37" s="123"/>
      <c r="R37" s="123"/>
      <c r="S37" s="126"/>
      <c r="T37" s="139" t="str">
        <f t="shared" ref="T37:T38" si="38">IF(M37="","待填","OK")</f>
        <v>OK</v>
      </c>
      <c r="V37" s="145"/>
      <c r="AG37" s="146"/>
      <c r="AI37" s="137" t="s">
        <v>120</v>
      </c>
      <c r="AJ37" s="155" t="str">
        <f t="shared" ref="AJ37:AJ39" si="39">IF(AI37="OK","確認無誤",IF(AI37="","待填","OK"))</f>
        <v>OK</v>
      </c>
      <c r="AK37" s="123"/>
      <c r="AL37" s="123"/>
      <c r="AM37" s="123"/>
      <c r="AN37" s="123"/>
      <c r="AO37" s="123"/>
      <c r="AP37" s="126"/>
      <c r="AQ37" s="139" t="str">
        <f t="shared" ref="AQ37:AQ38" si="40">IF(AJ37="OK","確認無誤",IF(AJ37="","待填","OK"))</f>
        <v>確認無誤</v>
      </c>
      <c r="AR37" s="137" t="s">
        <v>120</v>
      </c>
      <c r="AS37" s="155" t="str">
        <f t="shared" ref="AS37:AS38" si="41">IF(AR37="OK","確認無誤",IF(AR37="","待填","OK"))</f>
        <v>OK</v>
      </c>
      <c r="AT37" s="123"/>
      <c r="AU37" s="123"/>
      <c r="AV37" s="123"/>
      <c r="AW37" s="123"/>
      <c r="AX37" s="123"/>
      <c r="AY37" s="126"/>
      <c r="AZ37" s="139" t="str">
        <f t="shared" ref="AZ37:AZ38" si="42">IF(AS37="OK","確認無誤",IF(AS37="","待填","OK"))</f>
        <v>確認無誤</v>
      </c>
    </row>
    <row r="38" ht="21.75" customHeight="1">
      <c r="C38" s="137" t="s">
        <v>142</v>
      </c>
      <c r="D38" s="154" t="s">
        <v>60</v>
      </c>
      <c r="E38" s="123"/>
      <c r="F38" s="123"/>
      <c r="G38" s="123"/>
      <c r="H38" s="123"/>
      <c r="I38" s="123"/>
      <c r="J38" s="126"/>
      <c r="K38" s="139" t="str">
        <f t="shared" si="37"/>
        <v>OK</v>
      </c>
      <c r="L38" s="137" t="s">
        <v>142</v>
      </c>
      <c r="M38" s="154"/>
      <c r="N38" s="123"/>
      <c r="O38" s="123"/>
      <c r="P38" s="123"/>
      <c r="Q38" s="123"/>
      <c r="R38" s="123"/>
      <c r="S38" s="126"/>
      <c r="T38" s="139" t="str">
        <f t="shared" si="38"/>
        <v>待填</v>
      </c>
      <c r="V38" s="158"/>
      <c r="W38" s="159"/>
      <c r="X38" s="159"/>
      <c r="Y38" s="159"/>
      <c r="Z38" s="159"/>
      <c r="AA38" s="159"/>
      <c r="AB38" s="159"/>
      <c r="AC38" s="159"/>
      <c r="AD38" s="159"/>
      <c r="AE38" s="159"/>
      <c r="AF38" s="159"/>
      <c r="AG38" s="160"/>
      <c r="AI38" s="137" t="s">
        <v>142</v>
      </c>
      <c r="AJ38" s="155" t="str">
        <f t="shared" si="39"/>
        <v>OK</v>
      </c>
      <c r="AK38" s="123"/>
      <c r="AL38" s="123"/>
      <c r="AM38" s="123"/>
      <c r="AN38" s="123"/>
      <c r="AO38" s="123"/>
      <c r="AP38" s="126"/>
      <c r="AQ38" s="139" t="str">
        <f t="shared" si="40"/>
        <v>確認無誤</v>
      </c>
      <c r="AR38" s="137" t="s">
        <v>142</v>
      </c>
      <c r="AS38" s="155" t="str">
        <f t="shared" si="41"/>
        <v>OK</v>
      </c>
      <c r="AT38" s="123"/>
      <c r="AU38" s="123"/>
      <c r="AV38" s="123"/>
      <c r="AW38" s="123"/>
      <c r="AX38" s="123"/>
      <c r="AY38" s="126"/>
      <c r="AZ38" s="139" t="str">
        <f t="shared" si="42"/>
        <v>確認無誤</v>
      </c>
    </row>
    <row r="39" ht="21.75" customHeight="1">
      <c r="C39" s="137" t="s">
        <v>143</v>
      </c>
      <c r="D39" s="154" t="s">
        <v>164</v>
      </c>
      <c r="E39" s="123"/>
      <c r="F39" s="123"/>
      <c r="G39" s="123"/>
      <c r="H39" s="123"/>
      <c r="I39" s="123"/>
      <c r="J39" s="126"/>
      <c r="K39" s="139" t="str">
        <f>IF(D39="","限5字",IF(LENB(D39)/2&lt;=5,"OK","超過"))</f>
        <v>OK</v>
      </c>
      <c r="L39" s="137" t="s">
        <v>143</v>
      </c>
      <c r="M39" s="154" t="s">
        <v>165</v>
      </c>
      <c r="N39" s="123"/>
      <c r="O39" s="123"/>
      <c r="P39" s="123"/>
      <c r="Q39" s="123"/>
      <c r="R39" s="123"/>
      <c r="S39" s="126"/>
      <c r="T39" s="139" t="str">
        <f>IF(M39="","限5字",IF(LENB(M39)/2&lt;=5,"OK","超過"))</f>
        <v>OK</v>
      </c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150"/>
      <c r="AG39" s="150"/>
      <c r="AI39" s="137" t="s">
        <v>143</v>
      </c>
      <c r="AJ39" s="155" t="str">
        <f t="shared" si="39"/>
        <v>OK</v>
      </c>
      <c r="AK39" s="123"/>
      <c r="AL39" s="123"/>
      <c r="AM39" s="123"/>
      <c r="AN39" s="123"/>
      <c r="AO39" s="123"/>
      <c r="AP39" s="126"/>
      <c r="AQ39" s="139" t="str">
        <f>IF(AJ39="OK","確認無誤",IF(AJ39="","限5字",IF(LENB(AJ39)/2&lt;=5,"OK","超過")))</f>
        <v>確認無誤</v>
      </c>
      <c r="AR39" s="137" t="s">
        <v>143</v>
      </c>
      <c r="AS39" s="155" t="str">
        <f>IF(AR39="OK","確認無誤",IF(AR39="","限5字",IF(LENB(AR39)/2&lt;=5,"OK","超過")))</f>
        <v>OK</v>
      </c>
      <c r="AT39" s="123"/>
      <c r="AU39" s="123"/>
      <c r="AV39" s="123"/>
      <c r="AW39" s="123"/>
      <c r="AX39" s="123"/>
      <c r="AY39" s="126"/>
      <c r="AZ39" s="139" t="str">
        <f>IF(AS39="OK","確認無誤",IF(AS39="","限5字",IF(LENB(AS39)/2&lt;=5,"OK","超過")))</f>
        <v>確認無誤</v>
      </c>
    </row>
    <row r="41" ht="22.5" customHeight="1">
      <c r="A41" s="131" t="s">
        <v>131</v>
      </c>
      <c r="B41" s="132" t="s">
        <v>166</v>
      </c>
      <c r="C41" s="133" t="s">
        <v>133</v>
      </c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6"/>
      <c r="V41" s="153" t="s">
        <v>133</v>
      </c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6"/>
      <c r="AI41" s="133" t="s">
        <v>133</v>
      </c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6"/>
    </row>
    <row r="42" ht="21.75" customHeight="1">
      <c r="C42" s="137" t="s">
        <v>116</v>
      </c>
      <c r="D42" s="154" t="s">
        <v>167</v>
      </c>
      <c r="E42" s="123"/>
      <c r="F42" s="123"/>
      <c r="G42" s="123"/>
      <c r="H42" s="123"/>
      <c r="I42" s="123"/>
      <c r="J42" s="126"/>
      <c r="K42" s="139" t="str">
        <f>IF(D42="","限6字",IF(LENB(D42)/2&lt;=6,"OK","超過"))</f>
        <v>OK</v>
      </c>
      <c r="L42" s="137" t="s">
        <v>116</v>
      </c>
      <c r="M42" s="154" t="s">
        <v>168</v>
      </c>
      <c r="N42" s="123"/>
      <c r="O42" s="123"/>
      <c r="P42" s="123"/>
      <c r="Q42" s="123"/>
      <c r="R42" s="123"/>
      <c r="S42" s="126"/>
      <c r="T42" s="139" t="str">
        <f>IF(M42="","限6字",IF(LENB(M42)/2&lt;=6,"OK","超過"))</f>
        <v>OK</v>
      </c>
      <c r="V42" s="141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3"/>
      <c r="AI42" s="137" t="s">
        <v>116</v>
      </c>
      <c r="AJ42" s="155" t="str">
        <f t="shared" ref="AJ42:AJ44" si="43">IF(AI42="OK","確認無誤",IF(AI42="","待填","OK"))</f>
        <v>OK</v>
      </c>
      <c r="AK42" s="123"/>
      <c r="AL42" s="123"/>
      <c r="AM42" s="123"/>
      <c r="AN42" s="123"/>
      <c r="AO42" s="123"/>
      <c r="AP42" s="126"/>
      <c r="AQ42" s="139" t="str">
        <f t="shared" ref="AQ42:AQ44" si="44">IF(AJ42="OK","確認無誤",IF(AJ42="","待填","OK"))</f>
        <v>確認無誤</v>
      </c>
      <c r="AR42" s="137" t="s">
        <v>116</v>
      </c>
      <c r="AS42" s="155" t="str">
        <f t="shared" ref="AS42:AS44" si="45">IF(AR42="OK","確認無誤",IF(AR42="","待填","OK"))</f>
        <v>OK</v>
      </c>
      <c r="AT42" s="123"/>
      <c r="AU42" s="123"/>
      <c r="AV42" s="123"/>
      <c r="AW42" s="123"/>
      <c r="AX42" s="123"/>
      <c r="AY42" s="126"/>
      <c r="AZ42" s="139" t="str">
        <f t="shared" ref="AZ42:AZ44" si="46">IF(AS42="OK","確認無誤",IF(AS42="","待填","OK"))</f>
        <v>確認無誤</v>
      </c>
    </row>
    <row r="43" ht="21.75" customHeight="1">
      <c r="C43" s="137" t="s">
        <v>124</v>
      </c>
      <c r="D43" s="161" t="s">
        <v>169</v>
      </c>
      <c r="E43" s="123"/>
      <c r="F43" s="123"/>
      <c r="G43" s="123"/>
      <c r="H43" s="123"/>
      <c r="I43" s="123"/>
      <c r="J43" s="126"/>
      <c r="K43" s="139" t="str">
        <f t="shared" ref="K43:K44" si="47">IF(D43="","限8字",IF(LENB(D43)/2&lt;=8,"OK","超過"))</f>
        <v>OK</v>
      </c>
      <c r="L43" s="137" t="s">
        <v>124</v>
      </c>
      <c r="M43" s="154" t="s">
        <v>170</v>
      </c>
      <c r="N43" s="123"/>
      <c r="O43" s="123"/>
      <c r="P43" s="123"/>
      <c r="Q43" s="123"/>
      <c r="R43" s="123"/>
      <c r="S43" s="126"/>
      <c r="T43" s="139" t="str">
        <f t="shared" ref="T43:T44" si="48">IF(M43="","限8字",IF(LENB(M43)/2&lt;=8,"OK","超過"))</f>
        <v>OK</v>
      </c>
      <c r="V43" s="145"/>
      <c r="AG43" s="146"/>
      <c r="AI43" s="137" t="s">
        <v>124</v>
      </c>
      <c r="AJ43" s="155" t="str">
        <f t="shared" si="43"/>
        <v>OK</v>
      </c>
      <c r="AK43" s="123"/>
      <c r="AL43" s="123"/>
      <c r="AM43" s="123"/>
      <c r="AN43" s="123"/>
      <c r="AO43" s="123"/>
      <c r="AP43" s="126"/>
      <c r="AQ43" s="139" t="str">
        <f t="shared" si="44"/>
        <v>確認無誤</v>
      </c>
      <c r="AR43" s="137" t="s">
        <v>124</v>
      </c>
      <c r="AS43" s="155" t="str">
        <f t="shared" si="45"/>
        <v>OK</v>
      </c>
      <c r="AT43" s="123"/>
      <c r="AU43" s="123"/>
      <c r="AV43" s="123"/>
      <c r="AW43" s="123"/>
      <c r="AX43" s="123"/>
      <c r="AY43" s="126"/>
      <c r="AZ43" s="139" t="str">
        <f t="shared" si="46"/>
        <v>確認無誤</v>
      </c>
    </row>
    <row r="44" ht="21.75" customHeight="1">
      <c r="C44" s="137" t="s">
        <v>124</v>
      </c>
      <c r="D44" s="161" t="s">
        <v>171</v>
      </c>
      <c r="E44" s="123"/>
      <c r="F44" s="123"/>
      <c r="G44" s="123"/>
      <c r="H44" s="123"/>
      <c r="I44" s="123"/>
      <c r="J44" s="126"/>
      <c r="K44" s="139" t="str">
        <f t="shared" si="47"/>
        <v>OK</v>
      </c>
      <c r="L44" s="137" t="s">
        <v>124</v>
      </c>
      <c r="M44" s="154" t="s">
        <v>172</v>
      </c>
      <c r="N44" s="123"/>
      <c r="O44" s="123"/>
      <c r="P44" s="123"/>
      <c r="Q44" s="123"/>
      <c r="R44" s="123"/>
      <c r="S44" s="126"/>
      <c r="T44" s="139" t="str">
        <f t="shared" si="48"/>
        <v>OK</v>
      </c>
      <c r="V44" s="145"/>
      <c r="AG44" s="146"/>
      <c r="AI44" s="137" t="s">
        <v>124</v>
      </c>
      <c r="AJ44" s="155" t="str">
        <f t="shared" si="43"/>
        <v>OK</v>
      </c>
      <c r="AK44" s="123"/>
      <c r="AL44" s="123"/>
      <c r="AM44" s="123"/>
      <c r="AN44" s="123"/>
      <c r="AO44" s="123"/>
      <c r="AP44" s="126"/>
      <c r="AQ44" s="139" t="str">
        <f t="shared" si="44"/>
        <v>確認無誤</v>
      </c>
      <c r="AR44" s="137" t="s">
        <v>124</v>
      </c>
      <c r="AS44" s="155" t="str">
        <f t="shared" si="45"/>
        <v>OK</v>
      </c>
      <c r="AT44" s="123"/>
      <c r="AU44" s="123"/>
      <c r="AV44" s="123"/>
      <c r="AW44" s="123"/>
      <c r="AX44" s="123"/>
      <c r="AY44" s="126"/>
      <c r="AZ44" s="139" t="str">
        <f t="shared" si="46"/>
        <v>確認無誤</v>
      </c>
    </row>
    <row r="45" ht="21.75" customHeight="1">
      <c r="C45" s="137" t="s">
        <v>38</v>
      </c>
      <c r="D45" s="156" t="s">
        <v>139</v>
      </c>
      <c r="E45" s="123"/>
      <c r="F45" s="123"/>
      <c r="G45" s="123"/>
      <c r="H45" s="123"/>
      <c r="I45" s="123"/>
      <c r="J45" s="126"/>
      <c r="K45" s="157" t="s">
        <v>140</v>
      </c>
      <c r="L45" s="137" t="s">
        <v>38</v>
      </c>
      <c r="M45" s="156" t="s">
        <v>139</v>
      </c>
      <c r="N45" s="123"/>
      <c r="O45" s="123"/>
      <c r="P45" s="123"/>
      <c r="Q45" s="123"/>
      <c r="R45" s="123"/>
      <c r="S45" s="126"/>
      <c r="T45" s="157" t="s">
        <v>140</v>
      </c>
      <c r="V45" s="145"/>
      <c r="AG45" s="146"/>
      <c r="AI45" s="137" t="s">
        <v>38</v>
      </c>
      <c r="AJ45" s="156" t="s">
        <v>139</v>
      </c>
      <c r="AK45" s="123"/>
      <c r="AL45" s="123"/>
      <c r="AM45" s="123"/>
      <c r="AN45" s="123"/>
      <c r="AO45" s="123"/>
      <c r="AP45" s="126"/>
      <c r="AQ45" s="157" t="s">
        <v>140</v>
      </c>
      <c r="AR45" s="137" t="s">
        <v>38</v>
      </c>
      <c r="AS45" s="156" t="s">
        <v>139</v>
      </c>
      <c r="AT45" s="123"/>
      <c r="AU45" s="123"/>
      <c r="AV45" s="123"/>
      <c r="AW45" s="123"/>
      <c r="AX45" s="123"/>
      <c r="AY45" s="126"/>
      <c r="AZ45" s="157" t="s">
        <v>140</v>
      </c>
    </row>
    <row r="46" ht="21.75" customHeight="1">
      <c r="C46" s="137" t="s">
        <v>120</v>
      </c>
      <c r="D46" s="154" t="s">
        <v>173</v>
      </c>
      <c r="E46" s="123"/>
      <c r="F46" s="123"/>
      <c r="G46" s="123"/>
      <c r="H46" s="123"/>
      <c r="I46" s="123"/>
      <c r="J46" s="126"/>
      <c r="K46" s="139" t="str">
        <f t="shared" ref="K46:K47" si="49">IF(D46="","待填","OK")</f>
        <v>OK</v>
      </c>
      <c r="L46" s="137" t="s">
        <v>120</v>
      </c>
      <c r="M46" s="154" t="s">
        <v>174</v>
      </c>
      <c r="N46" s="123"/>
      <c r="O46" s="123"/>
      <c r="P46" s="123"/>
      <c r="Q46" s="123"/>
      <c r="R46" s="123"/>
      <c r="S46" s="126"/>
      <c r="T46" s="139" t="str">
        <f t="shared" ref="T46:T47" si="50">IF(M46="","待填","OK")</f>
        <v>OK</v>
      </c>
      <c r="V46" s="145"/>
      <c r="AG46" s="146"/>
      <c r="AI46" s="137" t="s">
        <v>120</v>
      </c>
      <c r="AJ46" s="155" t="str">
        <f t="shared" ref="AJ46:AJ48" si="51">IF(AI46="OK","確認無誤",IF(AI46="","待填","OK"))</f>
        <v>OK</v>
      </c>
      <c r="AK46" s="123"/>
      <c r="AL46" s="123"/>
      <c r="AM46" s="123"/>
      <c r="AN46" s="123"/>
      <c r="AO46" s="123"/>
      <c r="AP46" s="126"/>
      <c r="AQ46" s="139" t="str">
        <f t="shared" ref="AQ46:AQ47" si="52">IF(AJ46="OK","確認無誤",IF(AJ46="","待填","OK"))</f>
        <v>確認無誤</v>
      </c>
      <c r="AR46" s="137" t="s">
        <v>120</v>
      </c>
      <c r="AS46" s="155" t="str">
        <f t="shared" ref="AS46:AS47" si="53">IF(AR46="OK","確認無誤",IF(AR46="","待填","OK"))</f>
        <v>OK</v>
      </c>
      <c r="AT46" s="123"/>
      <c r="AU46" s="123"/>
      <c r="AV46" s="123"/>
      <c r="AW46" s="123"/>
      <c r="AX46" s="123"/>
      <c r="AY46" s="126"/>
      <c r="AZ46" s="139" t="str">
        <f t="shared" ref="AZ46:AZ47" si="54">IF(AS46="OK","確認無誤",IF(AS46="","待填","OK"))</f>
        <v>確認無誤</v>
      </c>
    </row>
    <row r="47" ht="21.75" customHeight="1">
      <c r="C47" s="137" t="s">
        <v>142</v>
      </c>
      <c r="D47" s="162" t="s">
        <v>175</v>
      </c>
      <c r="E47" s="123"/>
      <c r="F47" s="123"/>
      <c r="G47" s="123"/>
      <c r="H47" s="123"/>
      <c r="I47" s="123"/>
      <c r="J47" s="126"/>
      <c r="K47" s="139" t="str">
        <f t="shared" si="49"/>
        <v>待填</v>
      </c>
      <c r="L47" s="137" t="s">
        <v>142</v>
      </c>
      <c r="M47" s="162" t="s">
        <v>175</v>
      </c>
      <c r="N47" s="123"/>
      <c r="O47" s="123"/>
      <c r="P47" s="123"/>
      <c r="Q47" s="123"/>
      <c r="R47" s="123"/>
      <c r="S47" s="126"/>
      <c r="T47" s="139" t="str">
        <f t="shared" si="50"/>
        <v>待填</v>
      </c>
      <c r="V47" s="158"/>
      <c r="W47" s="159"/>
      <c r="X47" s="159"/>
      <c r="Y47" s="159"/>
      <c r="Z47" s="159"/>
      <c r="AA47" s="159"/>
      <c r="AB47" s="159"/>
      <c r="AC47" s="159"/>
      <c r="AD47" s="159"/>
      <c r="AE47" s="159"/>
      <c r="AF47" s="159"/>
      <c r="AG47" s="160"/>
      <c r="AI47" s="137" t="s">
        <v>142</v>
      </c>
      <c r="AJ47" s="155" t="str">
        <f t="shared" si="51"/>
        <v>OK</v>
      </c>
      <c r="AK47" s="123"/>
      <c r="AL47" s="123"/>
      <c r="AM47" s="123"/>
      <c r="AN47" s="123"/>
      <c r="AO47" s="123"/>
      <c r="AP47" s="126"/>
      <c r="AQ47" s="139" t="str">
        <f t="shared" si="52"/>
        <v>確認無誤</v>
      </c>
      <c r="AR47" s="137" t="s">
        <v>142</v>
      </c>
      <c r="AS47" s="155" t="str">
        <f t="shared" si="53"/>
        <v>OK</v>
      </c>
      <c r="AT47" s="123"/>
      <c r="AU47" s="123"/>
      <c r="AV47" s="123"/>
      <c r="AW47" s="123"/>
      <c r="AX47" s="123"/>
      <c r="AY47" s="126"/>
      <c r="AZ47" s="139" t="str">
        <f t="shared" si="54"/>
        <v>確認無誤</v>
      </c>
    </row>
    <row r="48" ht="21.75" customHeight="1">
      <c r="C48" s="137" t="s">
        <v>143</v>
      </c>
      <c r="D48" s="154" t="s">
        <v>176</v>
      </c>
      <c r="E48" s="123"/>
      <c r="F48" s="123"/>
      <c r="G48" s="123"/>
      <c r="H48" s="123"/>
      <c r="I48" s="123"/>
      <c r="J48" s="126"/>
      <c r="K48" s="139" t="str">
        <f>IF(D48="","限5字",IF(LENB(D48)/2&lt;=5,"OK","超過"))</f>
        <v>OK</v>
      </c>
      <c r="L48" s="137" t="s">
        <v>143</v>
      </c>
      <c r="M48" s="154" t="s">
        <v>177</v>
      </c>
      <c r="N48" s="123"/>
      <c r="O48" s="123"/>
      <c r="P48" s="123"/>
      <c r="Q48" s="123"/>
      <c r="R48" s="123"/>
      <c r="S48" s="126"/>
      <c r="T48" s="139" t="str">
        <f>IF(M48="","限5字",IF(LENB(M48)/2&lt;=5,"OK","超過"))</f>
        <v>OK</v>
      </c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I48" s="137" t="s">
        <v>143</v>
      </c>
      <c r="AJ48" s="155" t="str">
        <f t="shared" si="51"/>
        <v>OK</v>
      </c>
      <c r="AK48" s="123"/>
      <c r="AL48" s="123"/>
      <c r="AM48" s="123"/>
      <c r="AN48" s="123"/>
      <c r="AO48" s="123"/>
      <c r="AP48" s="126"/>
      <c r="AQ48" s="139" t="str">
        <f>IF(AJ48="OK","確認無誤",IF(AJ48="","限5字",IF(LENB(AJ48)/2&lt;=5,"OK","超過")))</f>
        <v>確認無誤</v>
      </c>
      <c r="AR48" s="137" t="s">
        <v>143</v>
      </c>
      <c r="AS48" s="155" t="str">
        <f>IF(AR48="OK","確認無誤",IF(AR48="","限5字",IF(LENB(AR48)/2&lt;=5,"OK","超過")))</f>
        <v>OK</v>
      </c>
      <c r="AT48" s="123"/>
      <c r="AU48" s="123"/>
      <c r="AV48" s="123"/>
      <c r="AW48" s="123"/>
      <c r="AX48" s="123"/>
      <c r="AY48" s="126"/>
      <c r="AZ48" s="139" t="str">
        <f>IF(AS48="OK","確認無誤",IF(AS48="","限5字",IF(LENB(AS48)/2&lt;=5,"OK","超過")))</f>
        <v>確認無誤</v>
      </c>
    </row>
    <row r="50" ht="22.5" customHeight="1">
      <c r="A50" s="131" t="s">
        <v>131</v>
      </c>
      <c r="B50" s="132" t="s">
        <v>178</v>
      </c>
      <c r="C50" s="163" t="s">
        <v>179</v>
      </c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5"/>
      <c r="V50" s="153" t="s">
        <v>179</v>
      </c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6"/>
      <c r="AI50" s="163" t="s">
        <v>179</v>
      </c>
      <c r="AJ50" s="164"/>
      <c r="AK50" s="164"/>
      <c r="AL50" s="164"/>
      <c r="AM50" s="164"/>
      <c r="AN50" s="164"/>
      <c r="AO50" s="164"/>
      <c r="AP50" s="164"/>
      <c r="AQ50" s="164"/>
      <c r="AR50" s="164"/>
      <c r="AS50" s="164"/>
      <c r="AT50" s="164"/>
      <c r="AU50" s="164"/>
      <c r="AV50" s="164"/>
      <c r="AW50" s="164"/>
      <c r="AX50" s="164"/>
      <c r="AY50" s="164"/>
      <c r="AZ50" s="165"/>
    </row>
    <row r="51" ht="21.75" customHeight="1">
      <c r="C51" s="166" t="s">
        <v>120</v>
      </c>
      <c r="D51" s="140" t="s">
        <v>180</v>
      </c>
      <c r="E51" s="123"/>
      <c r="F51" s="123"/>
      <c r="G51" s="123"/>
      <c r="H51" s="123"/>
      <c r="I51" s="123"/>
      <c r="J51" s="126"/>
      <c r="K51" s="139" t="str">
        <f>IF(D51="","待填","OK")</f>
        <v>OK</v>
      </c>
      <c r="L51" s="166" t="s">
        <v>181</v>
      </c>
      <c r="M51" s="154" t="s">
        <v>182</v>
      </c>
      <c r="N51" s="123"/>
      <c r="O51" s="123"/>
      <c r="P51" s="123"/>
      <c r="Q51" s="123"/>
      <c r="R51" s="123"/>
      <c r="S51" s="126"/>
      <c r="T51" s="167" t="str">
        <f>IF(M51="","待填","OK")</f>
        <v>OK</v>
      </c>
      <c r="V51" s="141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3"/>
      <c r="AI51" s="166" t="s">
        <v>120</v>
      </c>
      <c r="AJ51" s="144" t="str">
        <f t="shared" ref="AJ51:AJ53" si="55">IF(AI51="OK","確認無誤",IF(AI51="","待填","OK"))</f>
        <v>OK</v>
      </c>
      <c r="AK51" s="123"/>
      <c r="AL51" s="123"/>
      <c r="AM51" s="123"/>
      <c r="AN51" s="123"/>
      <c r="AO51" s="123"/>
      <c r="AP51" s="126"/>
      <c r="AQ51" s="139" t="str">
        <f t="shared" ref="AQ51:AQ53" si="56">IF(AJ51="OK","確認無誤",IF(AJ51="","待填","OK"))</f>
        <v>確認無誤</v>
      </c>
      <c r="AR51" s="166" t="s">
        <v>181</v>
      </c>
      <c r="AS51" s="155" t="str">
        <f t="shared" ref="AS51:AS53" si="57">IF(AR51="OK","確認無誤",IF(AR51="","待填","OK"))</f>
        <v>OK</v>
      </c>
      <c r="AT51" s="123"/>
      <c r="AU51" s="123"/>
      <c r="AV51" s="123"/>
      <c r="AW51" s="123"/>
      <c r="AX51" s="123"/>
      <c r="AY51" s="126"/>
      <c r="AZ51" s="167" t="str">
        <f t="shared" ref="AZ51:AZ53" si="58">IF(AS51="OK","確認無誤",IF(AS51="","待填","OK"))</f>
        <v>確認無誤</v>
      </c>
    </row>
    <row r="52" ht="21.75" customHeight="1">
      <c r="C52" s="166" t="s">
        <v>183</v>
      </c>
      <c r="D52" s="140" t="s">
        <v>184</v>
      </c>
      <c r="E52" s="123"/>
      <c r="F52" s="123"/>
      <c r="G52" s="123"/>
      <c r="H52" s="123"/>
      <c r="I52" s="123"/>
      <c r="J52" s="126"/>
      <c r="K52" s="139" t="str">
        <f t="shared" ref="K52:K53" si="59">IF(D52="","限8字",IF(LENB(D52)/2&lt;=8,"OK","超過"))</f>
        <v>OK</v>
      </c>
      <c r="L52" s="166" t="s">
        <v>185</v>
      </c>
      <c r="M52" s="154" t="s">
        <v>161</v>
      </c>
      <c r="N52" s="123"/>
      <c r="O52" s="123"/>
      <c r="P52" s="123"/>
      <c r="Q52" s="123"/>
      <c r="R52" s="123"/>
      <c r="S52" s="126"/>
      <c r="T52" s="167" t="str">
        <f>IF(M52="","限10字",IF(LENB(M52)/2&lt;=10,"OK","超過"))</f>
        <v>OK</v>
      </c>
      <c r="V52" s="145"/>
      <c r="AG52" s="146"/>
      <c r="AI52" s="166" t="s">
        <v>183</v>
      </c>
      <c r="AJ52" s="144" t="str">
        <f t="shared" si="55"/>
        <v>OK</v>
      </c>
      <c r="AK52" s="123"/>
      <c r="AL52" s="123"/>
      <c r="AM52" s="123"/>
      <c r="AN52" s="123"/>
      <c r="AO52" s="123"/>
      <c r="AP52" s="126"/>
      <c r="AQ52" s="139" t="str">
        <f t="shared" si="56"/>
        <v>確認無誤</v>
      </c>
      <c r="AR52" s="166" t="s">
        <v>185</v>
      </c>
      <c r="AS52" s="155" t="str">
        <f t="shared" si="57"/>
        <v>OK</v>
      </c>
      <c r="AT52" s="123"/>
      <c r="AU52" s="123"/>
      <c r="AV52" s="123"/>
      <c r="AW52" s="123"/>
      <c r="AX52" s="123"/>
      <c r="AY52" s="126"/>
      <c r="AZ52" s="167" t="str">
        <f t="shared" si="58"/>
        <v>確認無誤</v>
      </c>
    </row>
    <row r="53" ht="21.75" customHeight="1">
      <c r="C53" s="166" t="s">
        <v>183</v>
      </c>
      <c r="D53" s="140" t="s">
        <v>186</v>
      </c>
      <c r="E53" s="123"/>
      <c r="F53" s="123"/>
      <c r="G53" s="123"/>
      <c r="H53" s="123"/>
      <c r="I53" s="123"/>
      <c r="J53" s="126"/>
      <c r="K53" s="139" t="str">
        <f t="shared" si="59"/>
        <v>OK</v>
      </c>
      <c r="L53" s="137" t="s">
        <v>38</v>
      </c>
      <c r="M53" s="154" t="s">
        <v>187</v>
      </c>
      <c r="N53" s="123"/>
      <c r="O53" s="123"/>
      <c r="P53" s="123"/>
      <c r="Q53" s="123"/>
      <c r="R53" s="123"/>
      <c r="S53" s="126"/>
      <c r="T53" s="139" t="str">
        <f>IF(M53="","限3字",IF(LENB(M53)/2&lt;=3,"OK","超過"))</f>
        <v>OK</v>
      </c>
      <c r="V53" s="145"/>
      <c r="AG53" s="146"/>
      <c r="AI53" s="166" t="s">
        <v>183</v>
      </c>
      <c r="AJ53" s="144" t="str">
        <f t="shared" si="55"/>
        <v>OK</v>
      </c>
      <c r="AK53" s="123"/>
      <c r="AL53" s="123"/>
      <c r="AM53" s="123"/>
      <c r="AN53" s="123"/>
      <c r="AO53" s="123"/>
      <c r="AP53" s="126"/>
      <c r="AQ53" s="139" t="str">
        <f t="shared" si="56"/>
        <v>確認無誤</v>
      </c>
      <c r="AR53" s="137" t="s">
        <v>38</v>
      </c>
      <c r="AS53" s="155" t="str">
        <f t="shared" si="57"/>
        <v>OK</v>
      </c>
      <c r="AT53" s="123"/>
      <c r="AU53" s="123"/>
      <c r="AV53" s="123"/>
      <c r="AW53" s="123"/>
      <c r="AX53" s="123"/>
      <c r="AY53" s="126"/>
      <c r="AZ53" s="139" t="str">
        <f t="shared" si="58"/>
        <v>確認無誤</v>
      </c>
    </row>
    <row r="54">
      <c r="C54" s="151"/>
      <c r="D54" s="151"/>
      <c r="E54" s="151"/>
      <c r="F54" s="151"/>
      <c r="G54" s="151"/>
      <c r="H54" s="151"/>
      <c r="I54" s="151"/>
      <c r="J54" s="151"/>
      <c r="K54" s="168"/>
      <c r="L54" s="151" t="s">
        <v>175</v>
      </c>
      <c r="M54" s="151"/>
      <c r="N54" s="151" t="s">
        <v>175</v>
      </c>
      <c r="O54" s="151" t="s">
        <v>175</v>
      </c>
      <c r="P54" s="151" t="s">
        <v>175</v>
      </c>
      <c r="Q54" s="151" t="s">
        <v>175</v>
      </c>
      <c r="R54" s="151"/>
      <c r="S54" s="151" t="s">
        <v>175</v>
      </c>
      <c r="T54" s="151" t="s">
        <v>175</v>
      </c>
      <c r="V54" s="145"/>
      <c r="AG54" s="146"/>
      <c r="AI54" s="151"/>
      <c r="AJ54" s="151"/>
      <c r="AK54" s="151"/>
      <c r="AL54" s="151"/>
      <c r="AM54" s="151"/>
      <c r="AN54" s="151"/>
      <c r="AO54" s="151"/>
      <c r="AP54" s="151"/>
      <c r="AQ54" s="168"/>
      <c r="AR54" s="151" t="s">
        <v>175</v>
      </c>
      <c r="AS54" s="151"/>
      <c r="AT54" s="151" t="s">
        <v>175</v>
      </c>
      <c r="AU54" s="151" t="s">
        <v>175</v>
      </c>
      <c r="AV54" s="151" t="s">
        <v>175</v>
      </c>
      <c r="AW54" s="151" t="s">
        <v>175</v>
      </c>
      <c r="AX54" s="151"/>
      <c r="AY54" s="151" t="s">
        <v>175</v>
      </c>
      <c r="AZ54" s="151" t="s">
        <v>175</v>
      </c>
    </row>
    <row r="55">
      <c r="C55" s="151"/>
      <c r="D55" s="151"/>
      <c r="E55" s="151"/>
      <c r="F55" s="151"/>
      <c r="G55" s="151"/>
      <c r="H55" s="151"/>
      <c r="I55" s="151"/>
      <c r="J55" s="151"/>
      <c r="K55" s="151"/>
      <c r="L55" s="151" t="s">
        <v>175</v>
      </c>
      <c r="M55" s="151"/>
      <c r="N55" s="151" t="s">
        <v>175</v>
      </c>
      <c r="O55" s="151" t="s">
        <v>175</v>
      </c>
      <c r="P55" s="151" t="s">
        <v>175</v>
      </c>
      <c r="Q55" s="151" t="s">
        <v>175</v>
      </c>
      <c r="R55" s="151"/>
      <c r="S55" s="151" t="s">
        <v>175</v>
      </c>
      <c r="T55" s="151" t="s">
        <v>175</v>
      </c>
      <c r="V55" s="158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60"/>
      <c r="AI55" s="151"/>
      <c r="AJ55" s="151"/>
      <c r="AK55" s="151"/>
      <c r="AL55" s="151"/>
      <c r="AM55" s="151"/>
      <c r="AN55" s="151"/>
      <c r="AO55" s="151"/>
      <c r="AP55" s="151"/>
      <c r="AQ55" s="151"/>
      <c r="AR55" s="151" t="s">
        <v>175</v>
      </c>
      <c r="AS55" s="151"/>
      <c r="AT55" s="151" t="s">
        <v>175</v>
      </c>
      <c r="AU55" s="151" t="s">
        <v>175</v>
      </c>
      <c r="AV55" s="151" t="s">
        <v>175</v>
      </c>
      <c r="AW55" s="151" t="s">
        <v>175</v>
      </c>
      <c r="AX55" s="151"/>
      <c r="AY55" s="151" t="s">
        <v>175</v>
      </c>
      <c r="AZ55" s="151" t="s">
        <v>175</v>
      </c>
    </row>
    <row r="57" ht="22.5" customHeight="1">
      <c r="A57" s="131" t="s">
        <v>131</v>
      </c>
      <c r="B57" s="132" t="s">
        <v>188</v>
      </c>
      <c r="C57" s="163" t="s">
        <v>179</v>
      </c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5"/>
      <c r="V57" s="153" t="s">
        <v>179</v>
      </c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6"/>
      <c r="AI57" s="163" t="s">
        <v>179</v>
      </c>
      <c r="AJ57" s="164"/>
      <c r="AK57" s="164"/>
      <c r="AL57" s="164"/>
      <c r="AM57" s="164"/>
      <c r="AN57" s="164"/>
      <c r="AO57" s="164"/>
      <c r="AP57" s="164"/>
      <c r="AQ57" s="164"/>
      <c r="AR57" s="164"/>
      <c r="AS57" s="164"/>
      <c r="AT57" s="164"/>
      <c r="AU57" s="164"/>
      <c r="AV57" s="164"/>
      <c r="AW57" s="164"/>
      <c r="AX57" s="164"/>
      <c r="AY57" s="164"/>
      <c r="AZ57" s="165"/>
    </row>
    <row r="58" ht="21.75" customHeight="1">
      <c r="C58" s="166" t="s">
        <v>120</v>
      </c>
      <c r="D58" s="140" t="s">
        <v>189</v>
      </c>
      <c r="E58" s="123"/>
      <c r="F58" s="123"/>
      <c r="G58" s="123"/>
      <c r="H58" s="123"/>
      <c r="I58" s="123"/>
      <c r="J58" s="126"/>
      <c r="K58" s="139" t="str">
        <f>IF(D58="","待填","OK")</f>
        <v>OK</v>
      </c>
      <c r="L58" s="166" t="s">
        <v>181</v>
      </c>
      <c r="M58" s="154" t="s">
        <v>190</v>
      </c>
      <c r="N58" s="123"/>
      <c r="O58" s="123"/>
      <c r="P58" s="123"/>
      <c r="Q58" s="123"/>
      <c r="R58" s="123"/>
      <c r="S58" s="126"/>
      <c r="T58" s="167" t="str">
        <f>IF(M58="","待填","OK")</f>
        <v>OK</v>
      </c>
      <c r="V58" s="141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3"/>
      <c r="AI58" s="166" t="s">
        <v>120</v>
      </c>
      <c r="AJ58" s="144" t="str">
        <f t="shared" ref="AJ58:AJ60" si="60">IF(AI58="OK","確認無誤",IF(AI58="","待填","OK"))</f>
        <v>OK</v>
      </c>
      <c r="AK58" s="123"/>
      <c r="AL58" s="123"/>
      <c r="AM58" s="123"/>
      <c r="AN58" s="123"/>
      <c r="AO58" s="123"/>
      <c r="AP58" s="126"/>
      <c r="AQ58" s="139" t="str">
        <f t="shared" ref="AQ58:AQ60" si="61">IF(AJ58="OK","確認無誤",IF(AJ58="","待填","OK"))</f>
        <v>確認無誤</v>
      </c>
      <c r="AR58" s="166" t="s">
        <v>181</v>
      </c>
      <c r="AS58" s="155" t="str">
        <f t="shared" ref="AS58:AS60" si="62">IF(AR58="OK","確認無誤",IF(AR58="","待填","OK"))</f>
        <v>OK</v>
      </c>
      <c r="AT58" s="123"/>
      <c r="AU58" s="123"/>
      <c r="AV58" s="123"/>
      <c r="AW58" s="123"/>
      <c r="AX58" s="123"/>
      <c r="AY58" s="126"/>
      <c r="AZ58" s="167" t="str">
        <f t="shared" ref="AZ58:AZ60" si="63">IF(AS58="OK","確認無誤",IF(AS58="","待填","OK"))</f>
        <v>確認無誤</v>
      </c>
    </row>
    <row r="59" ht="21.75" customHeight="1">
      <c r="C59" s="166" t="s">
        <v>183</v>
      </c>
      <c r="D59" s="140" t="s">
        <v>184</v>
      </c>
      <c r="E59" s="123"/>
      <c r="F59" s="123"/>
      <c r="G59" s="123"/>
      <c r="H59" s="123"/>
      <c r="I59" s="123"/>
      <c r="J59" s="126"/>
      <c r="K59" s="139" t="str">
        <f t="shared" ref="K59:K60" si="64">IF(D59="","限8字",IF(LENB(D59)/2&lt;=8,"OK","超過"))</f>
        <v>OK</v>
      </c>
      <c r="L59" s="166" t="s">
        <v>185</v>
      </c>
      <c r="M59" s="154" t="s">
        <v>173</v>
      </c>
      <c r="N59" s="123"/>
      <c r="O59" s="123"/>
      <c r="P59" s="123"/>
      <c r="Q59" s="123"/>
      <c r="R59" s="123"/>
      <c r="S59" s="126"/>
      <c r="T59" s="167" t="str">
        <f>IF(M59="","限10字",IF(LENB(M59)/2&lt;=10,"OK","超過"))</f>
        <v>OK</v>
      </c>
      <c r="V59" s="145"/>
      <c r="AG59" s="146"/>
      <c r="AI59" s="166" t="s">
        <v>183</v>
      </c>
      <c r="AJ59" s="144" t="str">
        <f t="shared" si="60"/>
        <v>OK</v>
      </c>
      <c r="AK59" s="123"/>
      <c r="AL59" s="123"/>
      <c r="AM59" s="123"/>
      <c r="AN59" s="123"/>
      <c r="AO59" s="123"/>
      <c r="AP59" s="126"/>
      <c r="AQ59" s="139" t="str">
        <f t="shared" si="61"/>
        <v>確認無誤</v>
      </c>
      <c r="AR59" s="166" t="s">
        <v>185</v>
      </c>
      <c r="AS59" s="155" t="str">
        <f t="shared" si="62"/>
        <v>OK</v>
      </c>
      <c r="AT59" s="123"/>
      <c r="AU59" s="123"/>
      <c r="AV59" s="123"/>
      <c r="AW59" s="123"/>
      <c r="AX59" s="123"/>
      <c r="AY59" s="126"/>
      <c r="AZ59" s="167" t="str">
        <f t="shared" si="63"/>
        <v>確認無誤</v>
      </c>
    </row>
    <row r="60" ht="21.75" customHeight="1">
      <c r="C60" s="166" t="s">
        <v>183</v>
      </c>
      <c r="D60" s="140" t="s">
        <v>191</v>
      </c>
      <c r="E60" s="123"/>
      <c r="F60" s="123"/>
      <c r="G60" s="123"/>
      <c r="H60" s="123"/>
      <c r="I60" s="123"/>
      <c r="J60" s="126"/>
      <c r="K60" s="139" t="str">
        <f t="shared" si="64"/>
        <v>OK</v>
      </c>
      <c r="L60" s="137" t="s">
        <v>38</v>
      </c>
      <c r="M60" s="154" t="s">
        <v>192</v>
      </c>
      <c r="N60" s="123"/>
      <c r="O60" s="123"/>
      <c r="P60" s="123"/>
      <c r="Q60" s="123"/>
      <c r="R60" s="123"/>
      <c r="S60" s="126"/>
      <c r="T60" s="139" t="str">
        <f>IF(M60="","限3字",IF(LENB(M60)/2&lt;=3,"OK","超過"))</f>
        <v>OK</v>
      </c>
      <c r="V60" s="145"/>
      <c r="AG60" s="146"/>
      <c r="AI60" s="166" t="s">
        <v>183</v>
      </c>
      <c r="AJ60" s="144" t="str">
        <f t="shared" si="60"/>
        <v>OK</v>
      </c>
      <c r="AK60" s="123"/>
      <c r="AL60" s="123"/>
      <c r="AM60" s="123"/>
      <c r="AN60" s="123"/>
      <c r="AO60" s="123"/>
      <c r="AP60" s="126"/>
      <c r="AQ60" s="139" t="str">
        <f t="shared" si="61"/>
        <v>確認無誤</v>
      </c>
      <c r="AR60" s="137" t="s">
        <v>38</v>
      </c>
      <c r="AS60" s="155" t="str">
        <f t="shared" si="62"/>
        <v>OK</v>
      </c>
      <c r="AT60" s="123"/>
      <c r="AU60" s="123"/>
      <c r="AV60" s="123"/>
      <c r="AW60" s="123"/>
      <c r="AX60" s="123"/>
      <c r="AY60" s="126"/>
      <c r="AZ60" s="139" t="str">
        <f t="shared" si="63"/>
        <v>確認無誤</v>
      </c>
    </row>
    <row r="61">
      <c r="C61" s="151"/>
      <c r="D61" s="151"/>
      <c r="E61" s="151"/>
      <c r="F61" s="151"/>
      <c r="G61" s="151"/>
      <c r="H61" s="151"/>
      <c r="I61" s="151"/>
      <c r="J61" s="151"/>
      <c r="K61" s="168"/>
      <c r="L61" s="151" t="s">
        <v>175</v>
      </c>
      <c r="M61" s="151"/>
      <c r="N61" s="151" t="s">
        <v>175</v>
      </c>
      <c r="O61" s="151" t="s">
        <v>175</v>
      </c>
      <c r="P61" s="151" t="s">
        <v>175</v>
      </c>
      <c r="Q61" s="151" t="s">
        <v>175</v>
      </c>
      <c r="R61" s="151"/>
      <c r="S61" s="151" t="s">
        <v>175</v>
      </c>
      <c r="T61" s="151" t="s">
        <v>175</v>
      </c>
      <c r="V61" s="145"/>
      <c r="AG61" s="146"/>
      <c r="AI61" s="151"/>
      <c r="AJ61" s="151"/>
      <c r="AK61" s="151"/>
      <c r="AL61" s="151"/>
      <c r="AM61" s="151"/>
      <c r="AN61" s="151"/>
      <c r="AO61" s="151"/>
      <c r="AP61" s="151"/>
      <c r="AQ61" s="168"/>
      <c r="AR61" s="151" t="s">
        <v>175</v>
      </c>
      <c r="AS61" s="151"/>
      <c r="AT61" s="151" t="s">
        <v>175</v>
      </c>
      <c r="AU61" s="151" t="s">
        <v>175</v>
      </c>
      <c r="AV61" s="151" t="s">
        <v>175</v>
      </c>
      <c r="AW61" s="151" t="s">
        <v>175</v>
      </c>
      <c r="AX61" s="151"/>
      <c r="AY61" s="151" t="s">
        <v>175</v>
      </c>
      <c r="AZ61" s="151" t="s">
        <v>175</v>
      </c>
    </row>
    <row r="62">
      <c r="C62" s="151"/>
      <c r="D62" s="151"/>
      <c r="E62" s="151"/>
      <c r="F62" s="151"/>
      <c r="G62" s="151"/>
      <c r="H62" s="151"/>
      <c r="I62" s="151"/>
      <c r="J62" s="151"/>
      <c r="K62" s="151"/>
      <c r="L62" s="151" t="s">
        <v>175</v>
      </c>
      <c r="M62" s="151"/>
      <c r="N62" s="151" t="s">
        <v>175</v>
      </c>
      <c r="O62" s="151" t="s">
        <v>175</v>
      </c>
      <c r="P62" s="151" t="s">
        <v>175</v>
      </c>
      <c r="Q62" s="151" t="s">
        <v>175</v>
      </c>
      <c r="R62" s="151"/>
      <c r="S62" s="151" t="s">
        <v>175</v>
      </c>
      <c r="T62" s="151" t="s">
        <v>175</v>
      </c>
      <c r="V62" s="158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60"/>
      <c r="AI62" s="151"/>
      <c r="AJ62" s="151"/>
      <c r="AK62" s="151"/>
      <c r="AL62" s="151"/>
      <c r="AM62" s="151"/>
      <c r="AN62" s="151"/>
      <c r="AO62" s="151"/>
      <c r="AP62" s="151"/>
      <c r="AQ62" s="151"/>
      <c r="AR62" s="151" t="s">
        <v>175</v>
      </c>
      <c r="AS62" s="151"/>
      <c r="AT62" s="151" t="s">
        <v>175</v>
      </c>
      <c r="AU62" s="151" t="s">
        <v>175</v>
      </c>
      <c r="AV62" s="151" t="s">
        <v>175</v>
      </c>
      <c r="AW62" s="151" t="s">
        <v>175</v>
      </c>
      <c r="AX62" s="151"/>
      <c r="AY62" s="151" t="s">
        <v>175</v>
      </c>
      <c r="AZ62" s="151" t="s">
        <v>175</v>
      </c>
    </row>
    <row r="64">
      <c r="A64" s="169" t="s">
        <v>193</v>
      </c>
      <c r="B64" s="170"/>
      <c r="C64" s="171" t="s">
        <v>193</v>
      </c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5"/>
      <c r="U64" s="172"/>
      <c r="V64" s="173" t="s">
        <v>193</v>
      </c>
      <c r="W64" s="123"/>
      <c r="X64" s="123"/>
      <c r="Y64" s="123"/>
      <c r="Z64" s="123"/>
      <c r="AA64" s="123"/>
      <c r="AB64" s="123"/>
      <c r="AC64" s="123"/>
      <c r="AD64" s="123"/>
      <c r="AE64" s="123"/>
      <c r="AF64" s="123"/>
      <c r="AG64" s="126"/>
    </row>
    <row r="65">
      <c r="A65" s="174"/>
      <c r="B65" s="174"/>
      <c r="C65" s="175" t="s">
        <v>194</v>
      </c>
      <c r="D65" s="176" t="s">
        <v>195</v>
      </c>
      <c r="E65" s="123"/>
      <c r="F65" s="126"/>
      <c r="G65" s="177" t="s">
        <v>196</v>
      </c>
      <c r="H65" s="126"/>
      <c r="I65" s="178" t="str">
        <f t="shared" ref="I65:I68" si="65">IF(G65="","待填","OK")</f>
        <v>OK</v>
      </c>
      <c r="J65" s="176" t="s">
        <v>197</v>
      </c>
      <c r="K65" s="126"/>
      <c r="L65" s="177" t="s">
        <v>198</v>
      </c>
      <c r="M65" s="126"/>
      <c r="N65" s="178" t="str">
        <f t="shared" ref="N65:N68" si="66">IF(L65="","待填","OK")</f>
        <v>OK</v>
      </c>
      <c r="O65" s="179" t="s">
        <v>199</v>
      </c>
      <c r="P65" s="123"/>
      <c r="Q65" s="123"/>
      <c r="R65" s="123"/>
      <c r="S65" s="123"/>
      <c r="T65" s="126"/>
      <c r="U65" s="172"/>
      <c r="V65" s="13"/>
    </row>
    <row r="66">
      <c r="A66" s="174"/>
      <c r="B66" s="174"/>
      <c r="C66" s="175" t="s">
        <v>200</v>
      </c>
      <c r="D66" s="176" t="s">
        <v>195</v>
      </c>
      <c r="E66" s="123"/>
      <c r="F66" s="126"/>
      <c r="G66" s="177" t="s">
        <v>201</v>
      </c>
      <c r="H66" s="126"/>
      <c r="I66" s="178" t="str">
        <f t="shared" si="65"/>
        <v>OK</v>
      </c>
      <c r="J66" s="176" t="s">
        <v>197</v>
      </c>
      <c r="K66" s="126"/>
      <c r="L66" s="177" t="s">
        <v>202</v>
      </c>
      <c r="M66" s="126"/>
      <c r="N66" s="178" t="str">
        <f t="shared" si="66"/>
        <v>OK</v>
      </c>
      <c r="O66" s="179" t="s">
        <v>199</v>
      </c>
      <c r="P66" s="123"/>
      <c r="Q66" s="123"/>
      <c r="R66" s="123"/>
      <c r="S66" s="123"/>
      <c r="T66" s="126"/>
      <c r="U66" s="172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>
      <c r="A67" s="174"/>
      <c r="B67" s="174"/>
      <c r="C67" s="175" t="s">
        <v>203</v>
      </c>
      <c r="D67" s="176" t="s">
        <v>195</v>
      </c>
      <c r="E67" s="123"/>
      <c r="F67" s="126"/>
      <c r="G67" s="177" t="s">
        <v>204</v>
      </c>
      <c r="H67" s="126"/>
      <c r="I67" s="178" t="str">
        <f t="shared" si="65"/>
        <v>OK</v>
      </c>
      <c r="J67" s="176" t="s">
        <v>197</v>
      </c>
      <c r="K67" s="126"/>
      <c r="L67" s="177" t="s">
        <v>205</v>
      </c>
      <c r="M67" s="126"/>
      <c r="N67" s="178" t="str">
        <f t="shared" si="66"/>
        <v>OK</v>
      </c>
      <c r="O67" s="179" t="s">
        <v>199</v>
      </c>
      <c r="P67" s="123"/>
      <c r="Q67" s="123"/>
      <c r="R67" s="123"/>
      <c r="S67" s="123"/>
      <c r="T67" s="126"/>
      <c r="U67" s="172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>
      <c r="A68" s="180"/>
      <c r="B68" s="180"/>
      <c r="C68" s="175" t="s">
        <v>206</v>
      </c>
      <c r="D68" s="176" t="s">
        <v>195</v>
      </c>
      <c r="E68" s="123"/>
      <c r="F68" s="126"/>
      <c r="G68" s="177" t="s">
        <v>207</v>
      </c>
      <c r="H68" s="126"/>
      <c r="I68" s="178" t="str">
        <f t="shared" si="65"/>
        <v>OK</v>
      </c>
      <c r="J68" s="176" t="s">
        <v>197</v>
      </c>
      <c r="K68" s="126"/>
      <c r="L68" s="177" t="s">
        <v>208</v>
      </c>
      <c r="M68" s="126"/>
      <c r="N68" s="178" t="str">
        <f t="shared" si="66"/>
        <v>OK</v>
      </c>
      <c r="O68" s="179" t="s">
        <v>199</v>
      </c>
      <c r="P68" s="123"/>
      <c r="Q68" s="123"/>
      <c r="R68" s="123"/>
      <c r="S68" s="123"/>
      <c r="T68" s="126"/>
      <c r="U68" s="172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</sheetData>
  <mergeCells count="241">
    <mergeCell ref="D6:G6"/>
    <mergeCell ref="J6:M6"/>
    <mergeCell ref="V6:Y9"/>
    <mergeCell ref="Z6:AC9"/>
    <mergeCell ref="AD6:AG9"/>
    <mergeCell ref="D7:G7"/>
    <mergeCell ref="P8:S8"/>
    <mergeCell ref="D16:J16"/>
    <mergeCell ref="D17:J17"/>
    <mergeCell ref="M18:S18"/>
    <mergeCell ref="D19:J19"/>
    <mergeCell ref="M19:S19"/>
    <mergeCell ref="J9:M9"/>
    <mergeCell ref="C14:T14"/>
    <mergeCell ref="V14:AG14"/>
    <mergeCell ref="M15:S15"/>
    <mergeCell ref="V15:AG20"/>
    <mergeCell ref="M16:S16"/>
    <mergeCell ref="M17:S17"/>
    <mergeCell ref="V23:AG23"/>
    <mergeCell ref="V24:AG29"/>
    <mergeCell ref="M26:S26"/>
    <mergeCell ref="M27:S27"/>
    <mergeCell ref="M28:S28"/>
    <mergeCell ref="M29:S29"/>
    <mergeCell ref="M30:S30"/>
    <mergeCell ref="D44:J44"/>
    <mergeCell ref="D45:J45"/>
    <mergeCell ref="V57:AG57"/>
    <mergeCell ref="V58:AG62"/>
    <mergeCell ref="V64:AG64"/>
    <mergeCell ref="V65:AG65"/>
    <mergeCell ref="V32:AG32"/>
    <mergeCell ref="V33:AG38"/>
    <mergeCell ref="V41:AG41"/>
    <mergeCell ref="V42:AG47"/>
    <mergeCell ref="M44:S44"/>
    <mergeCell ref="V50:AG50"/>
    <mergeCell ref="V51:AG55"/>
    <mergeCell ref="M24:S24"/>
    <mergeCell ref="M25:S25"/>
    <mergeCell ref="A32:A39"/>
    <mergeCell ref="B32:B39"/>
    <mergeCell ref="C32:T32"/>
    <mergeCell ref="D33:J33"/>
    <mergeCell ref="D34:J34"/>
    <mergeCell ref="M46:S46"/>
    <mergeCell ref="D47:J47"/>
    <mergeCell ref="M47:S47"/>
    <mergeCell ref="D39:J39"/>
    <mergeCell ref="M39:S39"/>
    <mergeCell ref="A41:A48"/>
    <mergeCell ref="B41:B48"/>
    <mergeCell ref="C41:T41"/>
    <mergeCell ref="D42:J42"/>
    <mergeCell ref="M45:S45"/>
    <mergeCell ref="D43:J43"/>
    <mergeCell ref="D46:J46"/>
    <mergeCell ref="A50:A55"/>
    <mergeCell ref="B50:B55"/>
    <mergeCell ref="D51:J51"/>
    <mergeCell ref="D52:J52"/>
    <mergeCell ref="D53:J53"/>
    <mergeCell ref="D48:J48"/>
    <mergeCell ref="M48:S48"/>
    <mergeCell ref="C50:T50"/>
    <mergeCell ref="M51:S51"/>
    <mergeCell ref="M52:S52"/>
    <mergeCell ref="M53:S53"/>
    <mergeCell ref="C57:T57"/>
    <mergeCell ref="D67:F67"/>
    <mergeCell ref="D68:F68"/>
    <mergeCell ref="J67:K67"/>
    <mergeCell ref="J68:K68"/>
    <mergeCell ref="L68:M68"/>
    <mergeCell ref="O68:T68"/>
    <mergeCell ref="A3:A4"/>
    <mergeCell ref="A5:A12"/>
    <mergeCell ref="B5:B12"/>
    <mergeCell ref="B1:AZ1"/>
    <mergeCell ref="B2:AZ2"/>
    <mergeCell ref="B3:B4"/>
    <mergeCell ref="C3:AZ3"/>
    <mergeCell ref="C4:T4"/>
    <mergeCell ref="V4:AG4"/>
    <mergeCell ref="AI4:AZ4"/>
    <mergeCell ref="C5:H5"/>
    <mergeCell ref="I5:N5"/>
    <mergeCell ref="O5:T5"/>
    <mergeCell ref="V5:Y5"/>
    <mergeCell ref="Z5:AC5"/>
    <mergeCell ref="AD5:AG5"/>
    <mergeCell ref="AI5:AN5"/>
    <mergeCell ref="P6:S6"/>
    <mergeCell ref="P7:S7"/>
    <mergeCell ref="J7:M7"/>
    <mergeCell ref="J8:M8"/>
    <mergeCell ref="AO5:AT5"/>
    <mergeCell ref="AU5:AZ5"/>
    <mergeCell ref="AJ6:AM6"/>
    <mergeCell ref="AP6:AS6"/>
    <mergeCell ref="AV6:AY6"/>
    <mergeCell ref="AP7:AS7"/>
    <mergeCell ref="AV7:AY7"/>
    <mergeCell ref="AJ7:AM7"/>
    <mergeCell ref="AJ8:AM8"/>
    <mergeCell ref="AP8:AS8"/>
    <mergeCell ref="AV8:AY8"/>
    <mergeCell ref="AJ9:AM9"/>
    <mergeCell ref="AP9:AS9"/>
    <mergeCell ref="AI14:AZ14"/>
    <mergeCell ref="D20:J20"/>
    <mergeCell ref="M20:S20"/>
    <mergeCell ref="D21:J21"/>
    <mergeCell ref="M21:S21"/>
    <mergeCell ref="C23:T23"/>
    <mergeCell ref="D24:J24"/>
    <mergeCell ref="D25:J25"/>
    <mergeCell ref="M33:S33"/>
    <mergeCell ref="M34:S34"/>
    <mergeCell ref="D35:J35"/>
    <mergeCell ref="M35:S35"/>
    <mergeCell ref="D36:J36"/>
    <mergeCell ref="M36:S36"/>
    <mergeCell ref="D37:J37"/>
    <mergeCell ref="M37:S37"/>
    <mergeCell ref="D38:J38"/>
    <mergeCell ref="M38:S38"/>
    <mergeCell ref="M42:S42"/>
    <mergeCell ref="M43:S43"/>
    <mergeCell ref="D8:G8"/>
    <mergeCell ref="D9:G9"/>
    <mergeCell ref="A14:A21"/>
    <mergeCell ref="B14:B21"/>
    <mergeCell ref="A23:A30"/>
    <mergeCell ref="B23:B30"/>
    <mergeCell ref="D15:J15"/>
    <mergeCell ref="D18:J18"/>
    <mergeCell ref="D26:J26"/>
    <mergeCell ref="D27:J27"/>
    <mergeCell ref="D28:J28"/>
    <mergeCell ref="D29:J29"/>
    <mergeCell ref="D30:J30"/>
    <mergeCell ref="AJ45:AP45"/>
    <mergeCell ref="AJ46:AP46"/>
    <mergeCell ref="AJ47:AP47"/>
    <mergeCell ref="AJ48:AP48"/>
    <mergeCell ref="AJ42:AP42"/>
    <mergeCell ref="AS42:AY42"/>
    <mergeCell ref="AJ43:AP43"/>
    <mergeCell ref="AS43:AY43"/>
    <mergeCell ref="AJ44:AP44"/>
    <mergeCell ref="AS44:AY44"/>
    <mergeCell ref="AS45:AY45"/>
    <mergeCell ref="AJ52:AP52"/>
    <mergeCell ref="AJ53:AP53"/>
    <mergeCell ref="AS53:AY53"/>
    <mergeCell ref="AI57:AZ57"/>
    <mergeCell ref="AJ58:AP58"/>
    <mergeCell ref="AS58:AY58"/>
    <mergeCell ref="AJ59:AP59"/>
    <mergeCell ref="AS59:AY59"/>
    <mergeCell ref="AJ60:AP60"/>
    <mergeCell ref="AS60:AY60"/>
    <mergeCell ref="AS46:AY46"/>
    <mergeCell ref="AS47:AY47"/>
    <mergeCell ref="AS48:AY48"/>
    <mergeCell ref="AI50:AZ50"/>
    <mergeCell ref="AJ51:AP51"/>
    <mergeCell ref="AS51:AY51"/>
    <mergeCell ref="AS52:AY52"/>
    <mergeCell ref="AJ18:AP18"/>
    <mergeCell ref="AJ19:AP19"/>
    <mergeCell ref="AJ20:AP20"/>
    <mergeCell ref="AJ21:AP21"/>
    <mergeCell ref="AJ15:AP15"/>
    <mergeCell ref="AS15:AY15"/>
    <mergeCell ref="AJ16:AP16"/>
    <mergeCell ref="AS16:AY16"/>
    <mergeCell ref="AJ17:AP17"/>
    <mergeCell ref="AS17:AY17"/>
    <mergeCell ref="AS18:AY18"/>
    <mergeCell ref="AJ25:AP25"/>
    <mergeCell ref="AJ26:AP26"/>
    <mergeCell ref="AJ27:AP27"/>
    <mergeCell ref="AJ28:AP28"/>
    <mergeCell ref="AJ29:AP29"/>
    <mergeCell ref="AJ30:AP30"/>
    <mergeCell ref="AS19:AY19"/>
    <mergeCell ref="AS20:AY20"/>
    <mergeCell ref="AS21:AY21"/>
    <mergeCell ref="AI23:AZ23"/>
    <mergeCell ref="AJ24:AP24"/>
    <mergeCell ref="AS24:AY24"/>
    <mergeCell ref="AS25:AY25"/>
    <mergeCell ref="AJ33:AP33"/>
    <mergeCell ref="AJ34:AP34"/>
    <mergeCell ref="AJ35:AP35"/>
    <mergeCell ref="AJ36:AP36"/>
    <mergeCell ref="AJ37:AP37"/>
    <mergeCell ref="AJ38:AP38"/>
    <mergeCell ref="AJ39:AP39"/>
    <mergeCell ref="AS26:AY26"/>
    <mergeCell ref="AS27:AY27"/>
    <mergeCell ref="AS28:AY28"/>
    <mergeCell ref="AS29:AY29"/>
    <mergeCell ref="AS30:AY30"/>
    <mergeCell ref="AI32:AZ32"/>
    <mergeCell ref="AS33:AY33"/>
    <mergeCell ref="AS34:AY34"/>
    <mergeCell ref="AS35:AY35"/>
    <mergeCell ref="AS36:AY36"/>
    <mergeCell ref="AS37:AY37"/>
    <mergeCell ref="AS38:AY38"/>
    <mergeCell ref="AS39:AY39"/>
    <mergeCell ref="AI41:AZ41"/>
    <mergeCell ref="J66:K66"/>
    <mergeCell ref="L66:M66"/>
    <mergeCell ref="D65:F65"/>
    <mergeCell ref="G65:H65"/>
    <mergeCell ref="J65:K65"/>
    <mergeCell ref="L65:M65"/>
    <mergeCell ref="O65:T65"/>
    <mergeCell ref="D66:F66"/>
    <mergeCell ref="G66:H66"/>
    <mergeCell ref="O66:T66"/>
    <mergeCell ref="D58:J58"/>
    <mergeCell ref="M58:S58"/>
    <mergeCell ref="D59:J59"/>
    <mergeCell ref="M59:S59"/>
    <mergeCell ref="D60:J60"/>
    <mergeCell ref="M60:S60"/>
    <mergeCell ref="C64:T64"/>
    <mergeCell ref="O67:T67"/>
    <mergeCell ref="A57:A62"/>
    <mergeCell ref="B57:B62"/>
    <mergeCell ref="A64:A68"/>
    <mergeCell ref="B64:B68"/>
    <mergeCell ref="G67:H67"/>
    <mergeCell ref="L67:M67"/>
    <mergeCell ref="G68:H68"/>
  </mergeCells>
  <conditionalFormatting sqref="M53 M60">
    <cfRule type="expression" dxfId="0" priority="1" stopIfTrue="1">
      <formula>LENB(M53)/2&gt;3</formula>
    </cfRule>
  </conditionalFormatting>
  <conditionalFormatting sqref="D21 M21 AJ21 AR21:AS21 D30 M30 AJ30 AR30:AS30 D39 M39 AJ39 AR39:AS39 D48 M48 AJ48 AR48:AS48">
    <cfRule type="expression" dxfId="0" priority="2" stopIfTrue="1">
      <formula>LENB(D21)/2&gt;5</formula>
    </cfRule>
  </conditionalFormatting>
  <conditionalFormatting sqref="D15 M15 D24 M24 D33 M33 D42 M42">
    <cfRule type="expression" dxfId="0" priority="3" stopIfTrue="1">
      <formula>LENB(D15)/2&gt;6</formula>
    </cfRule>
  </conditionalFormatting>
  <conditionalFormatting sqref="D6 J6 P6 D8 J8 P8 D16:D17 M16:M17 D25:D26 M25:M26 D34:D35 M34:M35 D43:D44 M43:M44 D52:D53 D59:D60">
    <cfRule type="expression" dxfId="0" priority="4" stopIfTrue="1">
      <formula>LENB(D6)/2&gt;8</formula>
    </cfRule>
  </conditionalFormatting>
  <conditionalFormatting sqref="D9 J9 P9 M52 M59">
    <cfRule type="expression" dxfId="0" priority="5" stopIfTrue="1">
      <formula>LENB(D9)/2&gt;10</formula>
    </cfRule>
  </conditionalFormatting>
  <conditionalFormatting sqref="H6:H10 N6:N10 T6:T10 AJ6:AJ10 AN6:AN10 AP6:AP10 AT6:AT10 AV6:AV10 AZ6:AZ10 K15:K17 T15:T17 AJ15:AJ17 AQ15:AQ17 AS15:AS17 AZ15:AZ17 K19:K21 T19:T21 AJ19:AJ21 AQ19:AQ21 AS19:AS21 AZ19:AZ21 K24:K26 T24:T26 AJ24:AJ26 AQ24:AQ26 AS24:AS26 AZ24:AZ26 K28:K30 T28:T30 AJ28:AJ30 AQ28:AQ30 AS28:AS30 AZ28:AZ30 K33:K35 T33:T35 AJ33:AJ35 AQ33:AQ35 AS33:AS35 AZ33:AZ35 K37:K39 T37:T39 AJ37:AJ39 AQ37:AQ39 AS37:AS39 AZ37:AZ39 K42:K44 T42:T44 AJ42:AJ44 AQ42:AQ44 AS42:AS44 AZ42:AZ44 K46:K48 T46:T48 AJ46:AJ48 AQ46:AQ48 AS46:AS48 AZ46:AZ48 K51:K53 T51:T53 AJ51:AJ53 AQ51:AQ53 AS51:AS53 AZ51:AZ53 K58:K60 T58:T60 AJ58:AJ60 AQ58:AQ60 AS58:AS60 AZ58:AZ60">
    <cfRule type="expression" dxfId="0" priority="6" stopIfTrue="1">
      <formula>H6="超過"</formula>
    </cfRule>
  </conditionalFormatting>
  <conditionalFormatting sqref="H6:H10 N6:N10 T6:T10 AJ6:AJ10 AN6:AN10 AP6:AP10 AT6:AT10 AV6:AV10 AZ6:AZ10 K15:K17 T15:T17 AJ15:AJ17 AQ15:AQ17 AS15:AS17 AZ15:AZ17 K19:K21 T19:T21 AJ19:AJ21 AQ19:AQ21 AS19:AS21 AZ19:AZ21 K24:K26 T24:T26 AJ24:AJ26 AQ24:AQ26 AS24:AS26 AZ24:AZ26 K28:K30 T28:T30 AJ28:AJ30 AQ28:AQ30 AS28:AS30 AZ28:AZ30 K33:K35 T33:T35 AJ33:AJ35 AQ33:AQ35 AS33:AS35 AZ33:AZ35 K37:K39 T37:T39 AJ37:AJ39 AQ37:AQ39 AS37:AS39 AZ37:AZ39 K42:K44 T42:T44 AJ42:AJ44 AQ42:AQ44 AS42:AS44 AZ42:AZ44 K46:K48 T46:T48 AJ46:AJ48 AQ46:AQ48 AS46:AS48 AZ46:AZ48 K51:K53 T51:T53 AJ51:AJ53 AQ51:AQ53 AS51:AS53 AZ51:AZ53 K58:K60 T58:T60 AJ58:AJ60 AQ58:AQ60 AS58:AS60 AZ58:AZ60">
    <cfRule type="expression" dxfId="0" priority="7" stopIfTrue="1">
      <formula>H6="記得加副檔名"</formula>
    </cfRule>
  </conditionalFormatting>
  <conditionalFormatting sqref="H6:H10 N6:N10 T6:T10 AJ6:AJ10 AN6:AN10 AP6:AP10 AT6:AT10 AV6:AV10 AZ6:AZ10 K15:K17 T15:T17 AJ15:AJ17 AQ15:AQ17 AS15:AS17 AZ15:AZ17 K19:K21 T19:T21 AJ19:AJ21 AQ19:AQ21 AS19:AS21 AZ19:AZ21 K24:K26 T24:T26 AJ24:AJ26 AQ24:AQ26 AS24:AS26 AZ24:AZ26 K28:K30 T28:T30 AJ28:AJ30 AQ28:AQ30 AS28:AS30 AZ28:AZ30 K33:K35 T33:T35 AJ33:AJ35 AQ33:AQ35 AS33:AS35 AZ33:AZ35 K37:K39 T37:T39 AJ37:AJ39 AQ37:AQ39 AS37:AS39 AZ37:AZ39 K42:K44 T42:T44 AJ42:AJ44 AQ42:AQ44 AS42:AS44 AZ42:AZ44 K46:K48 T46:T48 AJ46:AJ48 AQ46:AQ48 AS46:AS48 AZ46:AZ48 K51:K53 T51:T53 AJ51:AJ53 AQ51:AQ53 AS51:AS53 AZ51:AZ53 K58:K60 T58:T60 AJ58:AJ60 AQ58:AQ60 AS58:AS60 AZ58:AZ60">
    <cfRule type="expression" dxfId="1" priority="8" stopIfTrue="1">
      <formula>H6="OK"</formula>
    </cfRule>
  </conditionalFormatting>
  <conditionalFormatting sqref="H6:H10 N6:N10 T6:T10 AJ6:AJ10 AN6:AN10 AP6:AP10 AT6:AT10 AV6:AV10 AZ6:AZ10 K15:K17 T15:T17 AJ15:AJ17 AQ15:AQ17 AS15:AS17 AZ15:AZ17 K19:K21 T19:T21 AJ19:AJ21 AQ19:AQ21 AS19:AS21 AZ19:AZ21 K24:K26 T24:T26 AJ24:AJ26 AQ24:AQ26 AS24:AS26 AZ24:AZ26 K28:K30 T28:T30 AJ28:AJ30 AQ28:AQ30 AS28:AS30 AZ28:AZ30 K33:K35 T33:T35 AJ33:AJ35 AQ33:AQ35 AS33:AS35 AZ33:AZ35 K37:K39 T37:T39 AJ37:AJ39 AQ37:AQ39 AS37:AS39 AZ37:AZ39 K42:K44 T42:T44 AJ42:AJ44 AQ42:AQ44 AS42:AS44 AZ42:AZ44 K46:K48 T46:T48 AJ46:AJ48 AQ46:AQ48 AS46:AS48 AZ46:AZ48 K51:K53 T51:T53 AJ51:AJ53 AQ51:AQ53 AS51:AS53 AZ51:AZ53 K58:K60 T58:T60 AJ58:AJ60 AQ58:AQ60 AS58:AS60 AZ58:AZ60">
    <cfRule type="expression" dxfId="1" priority="9" stopIfTrue="1">
      <formula>H6="確認無誤"</formula>
    </cfRule>
  </conditionalFormatting>
  <hyperlinks>
    <hyperlink r:id="rId4" ref="C4"/>
  </hyperlinks>
  <drawing r:id="rId5"/>
  <legacyDrawing r:id="rId6"/>
</worksheet>
</file>