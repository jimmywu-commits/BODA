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B3C05485-580E-4F03-9659-C72F3C34AA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單總覽" sheetId="1" r:id="rId1"/>
    <sheet name="MS Layout" sheetId="2" r:id="rId2"/>
    <sheet name="設定" sheetId="3" state="veryHidden" r:id="rId3"/>
    <sheet name="_BODA_META" sheetId="4" state="veryHidden" r:id="rId4"/>
    <sheet name="_BODA_BOTTOM" sheetId="5" state="veryHidden" r:id="rId5"/>
    <sheet name="_BODA_BOTTOM_STATE" sheetId="6" state="veryHidden" r:id="rId6"/>
    <sheet name="_BODA_RULES" sheetId="7" state="veryHidden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55" i="2" l="1"/>
  <c r="Y55" i="2"/>
  <c r="Q55" i="2"/>
  <c r="L55" i="2"/>
  <c r="G55" i="2"/>
  <c r="R50" i="2"/>
  <c r="L50" i="2"/>
  <c r="G50" i="2"/>
  <c r="R49" i="2"/>
  <c r="L49" i="2"/>
  <c r="G49" i="2"/>
  <c r="R48" i="2"/>
  <c r="L48" i="2"/>
  <c r="G48" i="2"/>
  <c r="R47" i="2"/>
  <c r="L47" i="2"/>
  <c r="G47" i="2"/>
  <c r="R46" i="2"/>
  <c r="L46" i="2"/>
  <c r="G46" i="2"/>
  <c r="R43" i="2"/>
  <c r="R42" i="2"/>
  <c r="R41" i="2"/>
  <c r="L41" i="2"/>
  <c r="R40" i="2"/>
  <c r="L40" i="2"/>
  <c r="G40" i="2"/>
  <c r="J36" i="2"/>
  <c r="F36" i="2"/>
  <c r="J35" i="2"/>
  <c r="F35" i="2"/>
  <c r="J34" i="2"/>
  <c r="F34" i="2"/>
  <c r="N31" i="2"/>
  <c r="J31" i="2"/>
  <c r="F31" i="2"/>
  <c r="N30" i="2"/>
  <c r="J30" i="2"/>
  <c r="F30" i="2"/>
  <c r="N29" i="2"/>
  <c r="J29" i="2"/>
  <c r="F29" i="2"/>
  <c r="R24" i="2"/>
  <c r="N24" i="2"/>
  <c r="J24" i="2"/>
  <c r="F24" i="2"/>
  <c r="R23" i="2"/>
  <c r="N23" i="2"/>
  <c r="J23" i="2"/>
  <c r="F23" i="2"/>
  <c r="R22" i="2"/>
  <c r="N22" i="2"/>
  <c r="J22" i="2"/>
  <c r="F22" i="2"/>
  <c r="R21" i="2"/>
  <c r="N21" i="2"/>
  <c r="J21" i="2"/>
  <c r="F21" i="2"/>
  <c r="J18" i="2"/>
  <c r="J17" i="2"/>
  <c r="J16" i="2"/>
  <c r="J15" i="2"/>
  <c r="F15" i="2"/>
  <c r="J14" i="2"/>
  <c r="F14" i="2"/>
  <c r="J13" i="2"/>
  <c r="F13" i="2"/>
  <c r="J12" i="2"/>
  <c r="F12" i="2"/>
  <c r="R7" i="2"/>
  <c r="N7" i="2"/>
  <c r="J7" i="2"/>
  <c r="F7" i="2"/>
  <c r="R6" i="2"/>
  <c r="N6" i="2"/>
  <c r="J6" i="2"/>
  <c r="F6" i="2"/>
  <c r="R5" i="2"/>
  <c r="N5" i="2"/>
  <c r="J5" i="2"/>
  <c r="F5" i="2"/>
  <c r="R4" i="2"/>
  <c r="N4" i="2"/>
  <c r="J4" i="2"/>
  <c r="F4" i="2"/>
  <c r="B31" i="1"/>
  <c r="A31" i="1"/>
  <c r="H31" i="1" s="1"/>
  <c r="D30" i="1"/>
  <c r="B30" i="1"/>
  <c r="C30" i="1" s="1"/>
  <c r="A30" i="1"/>
  <c r="E30" i="1" s="1"/>
  <c r="H29" i="1"/>
  <c r="D29" i="1"/>
  <c r="C29" i="1"/>
  <c r="I29" i="1" s="1"/>
  <c r="B29" i="1"/>
  <c r="A29" i="1"/>
  <c r="G29" i="1" s="1"/>
  <c r="F28" i="1"/>
  <c r="E28" i="1"/>
  <c r="D28" i="1"/>
  <c r="B28" i="1"/>
  <c r="A28" i="1"/>
  <c r="C28" i="1" s="1"/>
  <c r="B27" i="1"/>
  <c r="A27" i="1"/>
  <c r="H26" i="1"/>
  <c r="G26" i="1"/>
  <c r="F26" i="1"/>
  <c r="E26" i="1"/>
  <c r="D26" i="1"/>
  <c r="C26" i="1"/>
  <c r="I26" i="1" s="1"/>
  <c r="B26" i="1"/>
  <c r="A26" i="1"/>
  <c r="B25" i="1"/>
  <c r="A25" i="1"/>
  <c r="G25" i="1" s="1"/>
  <c r="H24" i="1"/>
  <c r="G24" i="1"/>
  <c r="F24" i="1"/>
  <c r="E24" i="1"/>
  <c r="B24" i="1"/>
  <c r="A24" i="1"/>
  <c r="D24" i="1" s="1"/>
  <c r="B23" i="1"/>
  <c r="A23" i="1"/>
  <c r="C23" i="1" s="1"/>
  <c r="H22" i="1"/>
  <c r="G22" i="1"/>
  <c r="F22" i="1"/>
  <c r="B22" i="1"/>
  <c r="C22" i="1" s="1"/>
  <c r="I22" i="1" s="1"/>
  <c r="A22" i="1"/>
  <c r="E22" i="1" s="1"/>
  <c r="F21" i="1"/>
  <c r="E21" i="1"/>
  <c r="D21" i="1"/>
  <c r="C21" i="1"/>
  <c r="B21" i="1"/>
  <c r="A21" i="1"/>
  <c r="D20" i="1"/>
  <c r="B20" i="1"/>
  <c r="A20" i="1"/>
  <c r="H20" i="1" s="1"/>
  <c r="I16" i="1"/>
  <c r="I15" i="1"/>
  <c r="I14" i="1"/>
  <c r="I13" i="1"/>
  <c r="I12" i="1"/>
  <c r="I11" i="1"/>
  <c r="F3" i="1"/>
  <c r="D23" i="1" l="1"/>
  <c r="G21" i="1"/>
  <c r="H28" i="1"/>
  <c r="H21" i="1"/>
  <c r="I21" i="1" s="1"/>
  <c r="F23" i="1"/>
  <c r="D25" i="1"/>
  <c r="G23" i="1"/>
  <c r="E25" i="1"/>
  <c r="C27" i="1"/>
  <c r="I27" i="1" s="1"/>
  <c r="H30" i="1"/>
  <c r="F30" i="1"/>
  <c r="I28" i="1"/>
  <c r="G30" i="1"/>
  <c r="C20" i="1"/>
  <c r="H23" i="1"/>
  <c r="F25" i="1"/>
  <c r="D27" i="1"/>
  <c r="I30" i="1"/>
  <c r="G28" i="1"/>
  <c r="E23" i="1"/>
  <c r="E20" i="1"/>
  <c r="H25" i="1"/>
  <c r="F27" i="1"/>
  <c r="F20" i="1"/>
  <c r="D22" i="1"/>
  <c r="G27" i="1"/>
  <c r="E29" i="1"/>
  <c r="C31" i="1"/>
  <c r="I31" i="1" s="1"/>
  <c r="C25" i="1"/>
  <c r="I25" i="1" s="1"/>
  <c r="G20" i="1"/>
  <c r="C24" i="1"/>
  <c r="I24" i="1" s="1"/>
  <c r="H27" i="1"/>
  <c r="F29" i="1"/>
  <c r="D31" i="1"/>
  <c r="I23" i="1"/>
  <c r="E27" i="1"/>
  <c r="E31" i="1"/>
  <c r="F31" i="1"/>
  <c r="G31" i="1"/>
  <c r="I5" i="1" l="1"/>
  <c r="I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D4" authorId="0" shapeId="0" xr:uid="{35A50414-D730-4DE8-A66C-9878CE45D5B9}">
      <text>
        <r>
          <rPr>
            <sz val="11"/>
            <color theme="1"/>
            <rFont val="新細明體"/>
            <family val="2"/>
            <scheme val="minor"/>
          </rPr>
          <t>填寫規則：(檔名/券名)
匯回 BODA 時會自動補上 $ 與千分位，並套用禁用語規則；Excel 內直接輸入不會即時改寫。</t>
        </r>
      </text>
    </comment>
    <comment ref="H4" authorId="0" shapeId="0" xr:uid="{4D55DCD3-59B1-4C53-99C6-46F38A9B0D95}">
      <text>
        <r>
          <rPr>
            <sz val="11"/>
            <color theme="1"/>
            <rFont val="新細明體"/>
            <family val="2"/>
            <scheme val="minor"/>
          </rPr>
          <t>填寫規則：(檔名/券名)
匯回 BODA 時會自動補上 $ 與千分位，並套用禁用語規則；Excel 內直接輸入不會即時改寫。</t>
        </r>
      </text>
    </comment>
    <comment ref="L4" authorId="0" shapeId="0" xr:uid="{705C011A-B9B9-490C-8B3C-4CFC9ECAFD75}">
      <text>
        <r>
          <rPr>
            <sz val="11"/>
            <color theme="1"/>
            <rFont val="新細明體"/>
            <family val="2"/>
            <scheme val="minor"/>
          </rPr>
          <t>填寫規則：(檔名/券名)
匯回 BODA 時會自動補上 $ 與千分位，並套用禁用語規則；Excel 內直接輸入不會即時改寫。</t>
        </r>
      </text>
    </comment>
    <comment ref="P4" authorId="0" shapeId="0" xr:uid="{44543DFF-3FA0-4183-BE46-FC64E7F495EA}">
      <text>
        <r>
          <rPr>
            <sz val="11"/>
            <color theme="1"/>
            <rFont val="新細明體"/>
            <family val="2"/>
            <scheme val="minor"/>
          </rPr>
          <t>填寫規則：(檔名/券名)
匯回 BODA 時會自動補上 $ 與千分位，並套用禁用語規則；Excel 內直接輸入不會即時改寫。</t>
        </r>
      </text>
    </comment>
    <comment ref="D5" authorId="0" shapeId="0" xr:uid="{16D5CD6D-E64C-4E51-9D7C-A4749C46BD46}">
      <text>
        <r>
          <rPr>
            <sz val="11"/>
            <color theme="1"/>
            <rFont val="新細明體"/>
            <family val="2"/>
            <scheme val="minor"/>
          </rPr>
          <t>填寫規則：(檔名/券名)</t>
        </r>
      </text>
    </comment>
    <comment ref="H5" authorId="0" shapeId="0" xr:uid="{CDA618E7-AEFE-4B6B-BBF0-A1DD74778DB2}">
      <text>
        <r>
          <rPr>
            <sz val="11"/>
            <color theme="1"/>
            <rFont val="新細明體"/>
            <family val="2"/>
            <scheme val="minor"/>
          </rPr>
          <t>填寫規則：(檔名/券名)</t>
        </r>
      </text>
    </comment>
    <comment ref="L5" authorId="0" shapeId="0" xr:uid="{64C07C2C-7306-475B-95E7-3B01AE8B919D}">
      <text>
        <r>
          <rPr>
            <sz val="11"/>
            <color theme="1"/>
            <rFont val="新細明體"/>
            <family val="2"/>
            <scheme val="minor"/>
          </rPr>
          <t>填寫規則：(檔名/券名)</t>
        </r>
      </text>
    </comment>
    <comment ref="P5" authorId="0" shapeId="0" xr:uid="{00000000-0006-0000-0100-000008000000}">
      <text>
        <r>
          <rPr>
            <sz val="11"/>
            <color theme="1"/>
            <rFont val="新細明體"/>
            <family val="2"/>
            <scheme val="minor"/>
          </rPr>
          <t>填寫規則：(檔名/券名)</t>
        </r>
      </text>
    </comment>
    <comment ref="D6" authorId="0" shapeId="0" xr:uid="{7A1AFF7C-2197-4BE5-B899-D5DAE51201F8}">
      <text>
        <r>
          <rPr>
            <sz val="11"/>
            <color theme="1"/>
            <rFont val="新細明體"/>
            <family val="2"/>
            <scheme val="minor"/>
          </rPr>
          <t>填寫規則：限5個字
匯回 BODA 時會自動補上 $ 與千分位，並套用禁用語規則；Excel 內直接輸入不會即時改寫。</t>
        </r>
      </text>
    </comment>
    <comment ref="H6" authorId="0" shapeId="0" xr:uid="{19A9742F-48D9-40A6-9E19-7E8EA93F4C82}">
      <text>
        <r>
          <rPr>
            <sz val="11"/>
            <color theme="1"/>
            <rFont val="新細明體"/>
            <family val="2"/>
            <scheme val="minor"/>
          </rPr>
          <t>填寫規則：限5個字
匯回 BODA 時會自動補上 $ 與千分位，並套用禁用語規則；Excel 內直接輸入不會即時改寫。</t>
        </r>
      </text>
    </comment>
    <comment ref="L6" authorId="0" shapeId="0" xr:uid="{BFACB493-862C-4C0E-BC12-81C8ADA5E77C}">
      <text>
        <r>
          <rPr>
            <sz val="11"/>
            <color theme="1"/>
            <rFont val="新細明體"/>
            <family val="2"/>
            <scheme val="minor"/>
          </rPr>
          <t>填寫規則：限5個字
匯回 BODA 時會自動補上 $ 與千分位，並套用禁用語規則；Excel 內直接輸入不會即時改寫。</t>
        </r>
      </text>
    </comment>
    <comment ref="P6" authorId="0" shapeId="0" xr:uid="{00000000-0006-0000-0100-00000C000000}">
      <text>
        <r>
          <rPr>
            <sz val="11"/>
            <color theme="1"/>
            <rFont val="新細明體"/>
            <family val="2"/>
            <scheme val="minor"/>
          </rPr>
          <t>填寫規則：限5個字
匯回 BODA 時會自動補上 $ 與千分位，並套用禁用語規則；Excel 內直接輸入不會即時改寫。</t>
        </r>
      </text>
    </comment>
    <comment ref="D7" authorId="0" shapeId="0" xr:uid="{7EC5741B-54D6-4453-8309-80071F0467DF}">
      <text>
        <r>
          <rPr>
            <sz val="11"/>
            <color theme="1"/>
            <rFont val="新細明體"/>
            <family val="2"/>
            <scheme val="minor"/>
          </rPr>
          <t>填寫規則：限6個字
匯回 BODA 時會自動補上 $ 與千分位，並套用禁用語規則；Excel 內直接輸入不會即時改寫。</t>
        </r>
      </text>
    </comment>
    <comment ref="H7" authorId="0" shapeId="0" xr:uid="{647C5061-CA46-4652-84EF-A66829B83DE5}">
      <text>
        <r>
          <rPr>
            <sz val="11"/>
            <color theme="1"/>
            <rFont val="新細明體"/>
            <family val="2"/>
            <scheme val="minor"/>
          </rPr>
          <t>填寫規則：限6個字
匯回 BODA 時會自動補上 $ 與千分位，並套用禁用語規則；Excel 內直接輸入不會即時改寫。</t>
        </r>
      </text>
    </comment>
    <comment ref="L7" authorId="0" shapeId="0" xr:uid="{D168DC6D-EA6C-47C2-B3C6-A8A7F375C833}">
      <text>
        <r>
          <rPr>
            <sz val="11"/>
            <color theme="1"/>
            <rFont val="新細明體"/>
            <family val="2"/>
            <scheme val="minor"/>
          </rPr>
          <t>填寫規則：限6個字
匯回 BODA 時會自動補上 $ 與千分位，並套用禁用語規則；Excel 內直接輸入不會即時改寫。</t>
        </r>
      </text>
    </comment>
    <comment ref="P7" authorId="0" shapeId="0" xr:uid="{00000000-0006-0000-0100-000010000000}">
      <text>
        <r>
          <rPr>
            <sz val="11"/>
            <color theme="1"/>
            <rFont val="新細明體"/>
            <family val="2"/>
            <scheme val="minor"/>
          </rPr>
          <t>填寫規則：限6個字
匯回 BODA 時會自動補上 $ 與千分位，並套用禁用語規則；Excel 內直接輸入不會即時改寫。</t>
        </r>
      </text>
    </comment>
    <comment ref="D12" authorId="0" shapeId="0" xr:uid="{00000000-0006-0000-0100-000011000000}">
      <text>
        <r>
          <rPr>
            <sz val="11"/>
            <color theme="1"/>
            <rFont val="新細明體"/>
            <family val="2"/>
            <scheme val="minor"/>
          </rPr>
          <t>填寫規則：促標最多7字內
匯回 BODA 時會自動補上 $ 與千分位，並套用禁用語規則；Excel 內直接輸入不會即時改寫。</t>
        </r>
      </text>
    </comment>
    <comment ref="H12" authorId="0" shapeId="0" xr:uid="{00000000-0006-0000-0100-000012000000}">
      <text>
        <r>
          <rPr>
            <sz val="11"/>
            <color theme="1"/>
            <rFont val="新細明體"/>
            <family val="2"/>
            <scheme val="minor"/>
          </rPr>
          <t>填寫規則：(圖檔名)</t>
        </r>
      </text>
    </comment>
    <comment ref="D13" authorId="0" shapeId="0" xr:uid="{00000000-0006-0000-0100-000013000000}">
      <text>
        <r>
          <rPr>
            <sz val="11"/>
            <color theme="1"/>
            <rFont val="新細明體"/>
            <family val="2"/>
            <scheme val="minor"/>
          </rPr>
          <t>填寫規則：品名一排最多8字
匯回 BODA 時會自動補上 $ 與千分位，並套用禁用語規則；Excel 內直接輸入不會即時改寫。</t>
        </r>
      </text>
    </comment>
    <comment ref="H13" authorId="0" shapeId="0" xr:uid="{00000000-0006-0000-0100-000014000000}">
      <text>
        <r>
          <rPr>
            <sz val="11"/>
            <color theme="1"/>
            <rFont val="新細明體"/>
            <family val="2"/>
            <scheme val="minor"/>
          </rPr>
          <t>填寫規則：(圖檔名)
匯回 BODA 時會自動補上 $ 與千分位，並套用禁用語規則；Excel 內直接輸入不會即時改寫。</t>
        </r>
      </text>
    </comment>
    <comment ref="D14" authorId="0" shapeId="0" xr:uid="{00000000-0006-0000-0100-000015000000}">
      <text>
        <r>
          <rPr>
            <sz val="11"/>
            <color theme="1"/>
            <rFont val="新細明體"/>
            <family val="2"/>
            <scheme val="minor"/>
          </rPr>
          <t>填寫規則：品名一排最多8字
匯回 BODA 時會自動補上 $ 與千分位，並套用禁用語規則；Excel 內直接輸入不會即時改寫。</t>
        </r>
      </text>
    </comment>
    <comment ref="H14" authorId="0" shapeId="0" xr:uid="{00000000-0006-0000-0100-000016000000}">
      <text>
        <r>
          <rPr>
            <sz val="11"/>
            <color theme="1"/>
            <rFont val="新細明體"/>
            <family val="2"/>
            <scheme val="minor"/>
          </rPr>
          <t>填寫規則：圓標05字內
匯回 BODA 時會自動補上 $ 與千分位，並套用禁用語規則；Excel 內直接輸入不會即時改寫。</t>
        </r>
      </text>
    </comment>
    <comment ref="D15" authorId="0" shapeId="0" xr:uid="{00000000-0006-0000-0100-000017000000}">
      <text>
        <r>
          <rPr>
            <sz val="11"/>
            <color theme="1"/>
            <rFont val="新細明體"/>
            <family val="2"/>
            <scheme val="minor"/>
          </rPr>
          <t>填寫規則：小字最多可9個字內
匯回 BODA 時會自動補上 $ 與千分位，並套用禁用語規則；Excel 內直接輸入不會即時改寫。</t>
        </r>
      </text>
    </comment>
    <comment ref="H15" authorId="0" shapeId="0" xr:uid="{00000000-0006-0000-0100-000018000000}">
      <text>
        <r>
          <rPr>
            <sz val="11"/>
            <color theme="1"/>
            <rFont val="新細明體"/>
            <family val="2"/>
            <scheme val="minor"/>
          </rPr>
          <t>填寫規則：每行限5字
匯回 BODA 時會自動補上 $ 與千分位，並套用禁用語規則；Excel 內直接輸入不會即時改寫。</t>
        </r>
      </text>
    </comment>
    <comment ref="H16" authorId="0" shapeId="0" xr:uid="{00000000-0006-0000-0100-000019000000}">
      <text>
        <r>
          <rPr>
            <sz val="11"/>
            <color theme="1"/>
            <rFont val="新細明體"/>
            <family val="2"/>
            <scheme val="minor"/>
          </rPr>
          <t>填寫規則：每行限5字
匯回 BODA 時會自動補上 $ 與千分位，並套用禁用語規則；Excel 內直接輸入不會即時改寫。</t>
        </r>
      </text>
    </comment>
    <comment ref="H17" authorId="0" shapeId="0" xr:uid="{00000000-0006-0000-0100-00001A000000}">
      <text>
        <r>
          <rPr>
            <sz val="11"/>
            <color theme="1"/>
            <rFont val="新細明體"/>
            <family val="2"/>
            <scheme val="minor"/>
          </rPr>
          <t>填寫規則：(檔名)
匯回 BODA 時會自動補上 $ 與千分位，並套用禁用語規則；Excel 內直接輸入不會即時改寫。</t>
        </r>
      </text>
    </comment>
    <comment ref="H18" authorId="0" shapeId="0" xr:uid="{00000000-0006-0000-0100-00001B000000}">
      <text>
        <r>
          <rPr>
            <sz val="11"/>
            <color theme="1"/>
            <rFont val="新細明體"/>
            <family val="2"/>
            <scheme val="minor"/>
          </rPr>
          <t>填寫規則：逛逛去
匯回 BODA 時會自動補上 $ 與千分位，並套用禁用語規則；Excel 內直接輸入不會即時改寫。</t>
        </r>
      </text>
    </comment>
    <comment ref="D21" authorId="0" shapeId="0" xr:uid="{EB137E5C-296B-44BC-A2A9-3276D9AA57CB}">
      <text>
        <r>
          <rPr>
            <sz val="11"/>
            <color theme="1"/>
            <rFont val="新細明體"/>
            <family val="2"/>
            <scheme val="minor"/>
          </rPr>
          <t>填寫規則：(檔名/券名)
匯回 BODA 時會自動補上 $ 與千分位，並套用禁用語規則；Excel 內直接輸入不會即時改寫。</t>
        </r>
      </text>
    </comment>
    <comment ref="H21" authorId="0" shapeId="0" xr:uid="{3439867B-8B61-4060-A405-B07A6E36BA1E}">
      <text>
        <r>
          <rPr>
            <sz val="11"/>
            <color theme="1"/>
            <rFont val="新細明體"/>
            <family val="2"/>
            <scheme val="minor"/>
          </rPr>
          <t>填寫規則：(檔名/券名)
匯回 BODA 時會自動補上 $ 與千分位，並套用禁用語規則；Excel 內直接輸入不會即時改寫。</t>
        </r>
      </text>
    </comment>
    <comment ref="L21" authorId="0" shapeId="0" xr:uid="{DBF3BE92-8E0A-4676-8140-9EC70959DF1D}">
      <text>
        <r>
          <rPr>
            <sz val="11"/>
            <color theme="1"/>
            <rFont val="新細明體"/>
            <family val="2"/>
            <scheme val="minor"/>
          </rPr>
          <t>填寫規則：(檔名/券名)
匯回 BODA 時會自動補上 $ 與千分位，並套用禁用語規則；Excel 內直接輸入不會即時改寫。</t>
        </r>
      </text>
    </comment>
    <comment ref="P21" authorId="0" shapeId="0" xr:uid="{37211CF2-81C7-4969-8C0F-F93538385637}">
      <text>
        <r>
          <rPr>
            <sz val="11"/>
            <color theme="1"/>
            <rFont val="新細明體"/>
            <family val="2"/>
            <scheme val="minor"/>
          </rPr>
          <t>填寫規則：(檔名/券名)
匯回 BODA 時會自動補上 $ 與千分位，並套用禁用語規則；Excel 內直接輸入不會即時改寫。</t>
        </r>
      </text>
    </comment>
    <comment ref="D22" authorId="0" shapeId="0" xr:uid="{FFC1F59B-E0BE-4DD8-BE83-F2E7CD04FED4}">
      <text>
        <r>
          <rPr>
            <sz val="11"/>
            <color theme="1"/>
            <rFont val="新細明體"/>
            <family val="2"/>
            <scheme val="minor"/>
          </rPr>
          <t>填寫規則：(檔名/券名)</t>
        </r>
      </text>
    </comment>
    <comment ref="H22" authorId="0" shapeId="0" xr:uid="{6AE757BC-3342-4E36-B9F7-9B70D6DCEB25}">
      <text>
        <r>
          <rPr>
            <sz val="11"/>
            <color theme="1"/>
            <rFont val="新細明體"/>
            <family val="2"/>
            <scheme val="minor"/>
          </rPr>
          <t>填寫規則：(檔名/券名)</t>
        </r>
      </text>
    </comment>
    <comment ref="L22" authorId="0" shapeId="0" xr:uid="{113E0002-82BE-4865-84A3-EB0BAB44E91C}">
      <text>
        <r>
          <rPr>
            <sz val="11"/>
            <color theme="1"/>
            <rFont val="新細明體"/>
            <family val="2"/>
            <scheme val="minor"/>
          </rPr>
          <t>填寫規則：(檔名/券名)</t>
        </r>
      </text>
    </comment>
    <comment ref="P22" authorId="0" shapeId="0" xr:uid="{78943769-A2AC-487A-B00D-6A791807B7B3}">
      <text>
        <r>
          <rPr>
            <sz val="11"/>
            <color theme="1"/>
            <rFont val="新細明體"/>
            <family val="2"/>
            <scheme val="minor"/>
          </rPr>
          <t>填寫規則：(檔名/券名)</t>
        </r>
      </text>
    </comment>
    <comment ref="D23" authorId="0" shapeId="0" xr:uid="{F57CF6F9-2749-4D50-A413-1ACFD7DB9A85}">
      <text>
        <r>
          <rPr>
            <sz val="11"/>
            <color theme="1"/>
            <rFont val="新細明體"/>
            <family val="2"/>
            <scheme val="minor"/>
          </rPr>
          <t>填寫規則：限5個字
匯回 BODA 時會自動補上 $ 與千分位，並套用禁用語規則；Excel 內直接輸入不會即時改寫。</t>
        </r>
      </text>
    </comment>
    <comment ref="H23" authorId="0" shapeId="0" xr:uid="{F7D794AE-66EB-4362-992B-89E01D4BD7FE}">
      <text>
        <r>
          <rPr>
            <sz val="11"/>
            <color theme="1"/>
            <rFont val="新細明體"/>
            <family val="2"/>
            <scheme val="minor"/>
          </rPr>
          <t>填寫規則：限5個字
匯回 BODA 時會自動補上 $ 與千分位，並套用禁用語規則；Excel 內直接輸入不會即時改寫。</t>
        </r>
      </text>
    </comment>
    <comment ref="L23" authorId="0" shapeId="0" xr:uid="{937528EC-252B-4601-A095-3DBF3D3D9F4B}">
      <text>
        <r>
          <rPr>
            <sz val="11"/>
            <color theme="1"/>
            <rFont val="新細明體"/>
            <family val="2"/>
            <scheme val="minor"/>
          </rPr>
          <t>填寫規則：限5個字
匯回 BODA 時會自動補上 $ 與千分位，並套用禁用語規則；Excel 內直接輸入不會即時改寫。</t>
        </r>
      </text>
    </comment>
    <comment ref="P23" authorId="0" shapeId="0" xr:uid="{4E37DF85-A1AD-4E8F-A7AC-CFBFA30F9E42}">
      <text>
        <r>
          <rPr>
            <sz val="11"/>
            <color theme="1"/>
            <rFont val="新細明體"/>
            <family val="2"/>
            <scheme val="minor"/>
          </rPr>
          <t>填寫規則：限5個字
匯回 BODA 時會自動補上 $ 與千分位，並套用禁用語規則；Excel 內直接輸入不會即時改寫。</t>
        </r>
      </text>
    </comment>
    <comment ref="D24" authorId="0" shapeId="0" xr:uid="{B6200D96-A9CE-4568-8915-2200F319D69E}">
      <text>
        <r>
          <rPr>
            <sz val="11"/>
            <color theme="1"/>
            <rFont val="新細明體"/>
            <family val="2"/>
            <scheme val="minor"/>
          </rPr>
          <t>填寫規則：限6個字
匯回 BODA 時會自動補上 $ 與千分位，並套用禁用語規則；Excel 內直接輸入不會即時改寫。</t>
        </r>
      </text>
    </comment>
    <comment ref="H24" authorId="0" shapeId="0" xr:uid="{6217A534-6A03-4729-8B03-2E227A697BFD}">
      <text>
        <r>
          <rPr>
            <sz val="11"/>
            <color theme="1"/>
            <rFont val="新細明體"/>
            <family val="2"/>
            <scheme val="minor"/>
          </rPr>
          <t>填寫規則：限6個字
匯回 BODA 時會自動補上 $ 與千分位，並套用禁用語規則；Excel 內直接輸入不會即時改寫。</t>
        </r>
      </text>
    </comment>
    <comment ref="L24" authorId="0" shapeId="0" xr:uid="{90D705A9-B77F-4D10-A7B6-CD3D0E85CF1C}">
      <text>
        <r>
          <rPr>
            <sz val="11"/>
            <color theme="1"/>
            <rFont val="新細明體"/>
            <family val="2"/>
            <scheme val="minor"/>
          </rPr>
          <t>填寫規則：限6個字
匯回 BODA 時會自動補上 $ 與千分位，並套用禁用語規則；Excel 內直接輸入不會即時改寫。</t>
        </r>
      </text>
    </comment>
    <comment ref="P24" authorId="0" shapeId="0" xr:uid="{D9AC07DC-F899-4535-B0C4-DC47882996D0}">
      <text>
        <r>
          <rPr>
            <sz val="11"/>
            <color theme="1"/>
            <rFont val="新細明體"/>
            <family val="2"/>
            <scheme val="minor"/>
          </rPr>
          <t>填寫規則：限6個字
匯回 BODA 時會自動補上 $ 與千分位，並套用禁用語規則；Excel 內直接輸入不會即時改寫。</t>
        </r>
      </text>
    </comment>
    <comment ref="D29" authorId="0" shapeId="0" xr:uid="{00000000-0006-0000-0100-00002C000000}">
      <text>
        <r>
          <rPr>
            <sz val="11"/>
            <color theme="1"/>
            <rFont val="新細明體"/>
            <family val="2"/>
            <scheme val="minor"/>
          </rPr>
          <t>填寫規則：(檔名/券名)
匯回 BODA 時會自動補上 $ 與千分位，並套用禁用語規則；Excel 內直接輸入不會即時改寫。</t>
        </r>
      </text>
    </comment>
    <comment ref="H29" authorId="0" shapeId="0" xr:uid="{00000000-0006-0000-0100-00002D000000}">
      <text>
        <r>
          <rPr>
            <sz val="11"/>
            <color theme="1"/>
            <rFont val="新細明體"/>
            <family val="2"/>
            <scheme val="minor"/>
          </rPr>
          <t>填寫規則：(檔名/券名)
匯回 BODA 時會自動補上 $ 與千分位，並套用禁用語規則；Excel 內直接輸入不會即時改寫。</t>
        </r>
      </text>
    </comment>
    <comment ref="L29" authorId="0" shapeId="0" xr:uid="{00000000-0006-0000-0100-00002E000000}">
      <text>
        <r>
          <rPr>
            <sz val="11"/>
            <color theme="1"/>
            <rFont val="新細明體"/>
            <family val="2"/>
            <scheme val="minor"/>
          </rPr>
          <t>填寫規則：(檔名/券名)
匯回 BODA 時會自動補上 $ 與千分位，並套用禁用語規則；Excel 內直接輸入不會即時改寫。</t>
        </r>
      </text>
    </comment>
    <comment ref="D30" authorId="0" shapeId="0" xr:uid="{F1DB5723-B26C-415D-87A3-C9A0248F7021}">
      <text>
        <r>
          <rPr>
            <sz val="11"/>
            <color theme="1"/>
            <rFont val="新細明體"/>
            <family val="2"/>
            <scheme val="minor"/>
          </rPr>
          <t>填寫規則：限5個字
匯回 BODA 時會自動補上 $ 與千分位，並套用禁用語規則；Excel 內直接輸入不會即時改寫。</t>
        </r>
      </text>
    </comment>
    <comment ref="H30" authorId="0" shapeId="0" xr:uid="{705B3979-70A0-4B43-8432-86CBB5A7FEEF}">
      <text>
        <r>
          <rPr>
            <sz val="11"/>
            <color theme="1"/>
            <rFont val="新細明體"/>
            <family val="2"/>
            <scheme val="minor"/>
          </rPr>
          <t>填寫規則：限5個字
匯回 BODA 時會自動補上 $ 與千分位，並套用禁用語規則；Excel 內直接輸入不會即時改寫。</t>
        </r>
      </text>
    </comment>
    <comment ref="L30" authorId="0" shapeId="0" xr:uid="{0166057C-1F3F-42CF-B7A0-E9DEF3A8E365}">
      <text>
        <r>
          <rPr>
            <sz val="11"/>
            <color theme="1"/>
            <rFont val="新細明體"/>
            <family val="2"/>
            <scheme val="minor"/>
          </rPr>
          <t>填寫規則：限5個字
匯回 BODA 時會自動補上 $ 與千分位，並套用禁用語規則；Excel 內直接輸入不會即時改寫。</t>
        </r>
      </text>
    </comment>
    <comment ref="D31" authorId="0" shapeId="0" xr:uid="{E0068A8C-8E8A-4CD2-8FD1-98391C914B25}">
      <text>
        <r>
          <rPr>
            <sz val="11"/>
            <color theme="1"/>
            <rFont val="新細明體"/>
            <family val="2"/>
            <scheme val="minor"/>
          </rPr>
          <t>填寫規則：逛逛去
匯回 BODA 時會自動補上 $ 與千分位，並套用禁用語規則；Excel 內直接輸入不會即時改寫。</t>
        </r>
      </text>
    </comment>
    <comment ref="H31" authorId="0" shapeId="0" xr:uid="{7621DC3D-F1AF-4B3C-9AA7-8A1A9EB41BF1}">
      <text>
        <r>
          <rPr>
            <sz val="11"/>
            <color theme="1"/>
            <rFont val="新細明體"/>
            <family val="2"/>
            <scheme val="minor"/>
          </rPr>
          <t>填寫規則：逛逛去
匯回 BODA 時會自動補上 $ 與千分位，並套用禁用語規則；Excel 內直接輸入不會即時改寫。</t>
        </r>
      </text>
    </comment>
    <comment ref="L31" authorId="0" shapeId="0" xr:uid="{CF75F2E8-17AD-4E91-AD3D-C353E0E92153}">
      <text>
        <r>
          <rPr>
            <sz val="11"/>
            <color theme="1"/>
            <rFont val="新細明體"/>
            <family val="2"/>
            <scheme val="minor"/>
          </rPr>
          <t>填寫規則：逛逛去
匯回 BODA 時會自動補上 $ 與千分位，並套用禁用語規則；Excel 內直接輸入不會即時改寫。</t>
        </r>
      </text>
    </comment>
    <comment ref="D34" authorId="0" shapeId="0" xr:uid="{00000000-0006-0000-0100-000035000000}">
      <text>
        <r>
          <rPr>
            <sz val="11"/>
            <color theme="1"/>
            <rFont val="新細明體"/>
            <family val="2"/>
            <scheme val="minor"/>
          </rPr>
          <t>填寫規則：代言人小字8字內
匯回 BODA 時會自動補上 $ 與千分位，並套用禁用語規則；Excel 內直接輸入不會即時改寫。</t>
        </r>
      </text>
    </comment>
    <comment ref="H34" authorId="0" shapeId="0" xr:uid="{00000000-0006-0000-0100-000036000000}">
      <text>
        <r>
          <rPr>
            <sz val="11"/>
            <color theme="1"/>
            <rFont val="新細明體"/>
            <family val="2"/>
            <scheme val="minor"/>
          </rPr>
          <t>填寫規則：(檔名/券名)
匯回 BODA 時會自動補上 $ 與千分位，並套用禁用語規則；Excel 內直接輸入不會即時改寫。</t>
        </r>
      </text>
    </comment>
    <comment ref="D35" authorId="0" shapeId="0" xr:uid="{00000000-0006-0000-0100-000037000000}">
      <text>
        <r>
          <rPr>
            <sz val="11"/>
            <color theme="1"/>
            <rFont val="新細明體"/>
            <family val="2"/>
            <scheme val="minor"/>
          </rPr>
          <t>填寫規則：代言人小字8字內
匯回 BODA 時會自動補上 $ 與千分位，並套用禁用語規則；Excel 內直接輸入不會即時改寫。</t>
        </r>
      </text>
    </comment>
    <comment ref="H35" authorId="0" shapeId="0" xr:uid="{00000000-0006-0000-0100-000038000000}">
      <text>
        <r>
          <rPr>
            <sz val="11"/>
            <color theme="1"/>
            <rFont val="新細明體"/>
            <family val="2"/>
            <scheme val="minor"/>
          </rPr>
          <t>填寫規則：文案最多10個字以內
匯回 BODA 時會自動補上 $ 與千分位，並套用禁用語規則；Excel 內直接輸入不會即時改寫。</t>
        </r>
      </text>
    </comment>
    <comment ref="D36" authorId="0" shapeId="0" xr:uid="{00000000-0006-0000-0100-000039000000}">
      <text>
        <r>
          <rPr>
            <sz val="11"/>
            <color theme="1"/>
            <rFont val="新細明體"/>
            <family val="2"/>
            <scheme val="minor"/>
          </rPr>
          <t>填寫規則：(圖檔名)</t>
        </r>
      </text>
    </comment>
    <comment ref="H36" authorId="0" shapeId="0" xr:uid="{1173AA51-C09C-420A-A5CB-89511C7B0DFC}">
      <text>
        <r>
          <rPr>
            <sz val="11"/>
            <color theme="1"/>
            <rFont val="新細明體"/>
            <family val="2"/>
            <scheme val="minor"/>
          </rPr>
          <t>填寫規則：逛逛去
匯回 BODA 時會自動補上 $ 與千分位，並套用禁用語規則；Excel 內直接輸入不會即時改寫。</t>
        </r>
      </text>
    </comment>
    <comment ref="D40" authorId="0" shapeId="0" xr:uid="{00000000-0006-0000-0100-00003B000000}">
      <text>
        <r>
          <rPr>
            <sz val="11"/>
            <color theme="1"/>
            <rFont val="新細明體"/>
            <family val="2"/>
            <scheme val="minor"/>
          </rPr>
          <t>填寫規則：(圖檔名)</t>
        </r>
      </text>
    </comment>
    <comment ref="I40" authorId="0" shapeId="0" xr:uid="{00000000-0006-0000-0100-00003C000000}">
      <text>
        <r>
          <rPr>
            <sz val="11"/>
            <color theme="1"/>
            <rFont val="新細明體"/>
            <family val="2"/>
            <scheme val="minor"/>
          </rPr>
          <t>填寫規則：促標最多6字
匯回 BODA 時會自動補上 $ 與千分位，並套用禁用語規則；Excel 內直接輸入不會即時改寫。</t>
        </r>
      </text>
    </comment>
    <comment ref="N40" authorId="0" shapeId="0" xr:uid="{00000000-0006-0000-0100-00003D000000}">
      <text>
        <r>
          <rPr>
            <sz val="11"/>
            <color theme="1"/>
            <rFont val="新細明體"/>
            <family val="2"/>
            <scheme val="minor"/>
          </rPr>
          <t>填寫規則：促標最多6字
匯回 BODA 時會自動補上 $ 與千分位，並套用禁用語規則；Excel 內直接輸入不會即時改寫。</t>
        </r>
      </text>
    </comment>
    <comment ref="I41" authorId="0" shapeId="0" xr:uid="{00000000-0006-0000-0100-00003E000000}">
      <text>
        <r>
          <rPr>
            <sz val="11"/>
            <color theme="1"/>
            <rFont val="新細明體"/>
            <family val="2"/>
            <scheme val="minor"/>
          </rPr>
          <t>填寫規則：文案一排4字
匯回 BODA 時會自動補上 $ 與千分位，並套用禁用語規則；Excel 內直接輸入不會即時改寫。</t>
        </r>
      </text>
    </comment>
    <comment ref="N41" authorId="0" shapeId="0" xr:uid="{00000000-0006-0000-0100-00003F000000}">
      <text>
        <r>
          <rPr>
            <sz val="11"/>
            <color theme="1"/>
            <rFont val="新細明體"/>
            <family val="2"/>
            <scheme val="minor"/>
          </rPr>
          <t>填寫規則：文案一排4字
匯回 BODA 時會自動補上 $ 與千分位，並套用禁用語規則；Excel 內直接輸入不會即時改寫。</t>
        </r>
      </text>
    </comment>
    <comment ref="N42" authorId="0" shapeId="0" xr:uid="{00000000-0006-0000-0100-000040000000}">
      <text>
        <r>
          <rPr>
            <sz val="11"/>
            <color theme="1"/>
            <rFont val="新細明體"/>
            <family val="2"/>
            <scheme val="minor"/>
          </rPr>
          <t>填寫規則：(檔名/券名)
匯回 BODA 時會自動補上 $ 與千分位，並套用禁用語規則；Excel 內直接輸入不會即時改寫。</t>
        </r>
      </text>
    </comment>
    <comment ref="N43" authorId="0" shapeId="0" xr:uid="{00000000-0006-0000-0100-000041000000}">
      <text>
        <r>
          <rPr>
            <sz val="11"/>
            <color theme="1"/>
            <rFont val="新細明體"/>
            <family val="2"/>
            <scheme val="minor"/>
          </rPr>
          <t>填寫規則：領券去
匯回 BODA 時會自動補上 $ 與千分位，並套用禁用語規則；Excel 內直接輸入不會即時改寫。</t>
        </r>
      </text>
    </comment>
    <comment ref="D46" authorId="0" shapeId="0" xr:uid="{00000000-0006-0000-0100-000042000000}">
      <text>
        <r>
          <rPr>
            <sz val="11"/>
            <color theme="1"/>
            <rFont val="新細明體"/>
            <family val="2"/>
            <scheme val="minor"/>
          </rPr>
          <t>填寫規則：項目文字04字
匯回 BODA 時會自動補上 $ 與千分位，並套用禁用語規則；Excel 內直接輸入不會即時改寫。</t>
        </r>
      </text>
    </comment>
    <comment ref="I46" authorId="0" shapeId="0" xr:uid="{00000000-0006-0000-0100-000043000000}">
      <text>
        <r>
          <rPr>
            <sz val="11"/>
            <color theme="1"/>
            <rFont val="新細明體"/>
            <family val="2"/>
            <scheme val="minor"/>
          </rPr>
          <t>填寫規則：內文一排最多09字內
匯回 BODA 時會自動補上 $ 與千分位，並套用禁用語規則；Excel 內直接輸入不會即時改寫。</t>
        </r>
      </text>
    </comment>
    <comment ref="N46" authorId="0" shapeId="0" xr:uid="{00000000-0006-0000-0100-000044000000}">
      <text>
        <r>
          <rPr>
            <sz val="11"/>
            <color theme="1"/>
            <rFont val="新細明體"/>
            <family val="2"/>
            <scheme val="minor"/>
          </rPr>
          <t>填寫規則：內文一排最多09字內
匯回 BODA 時會自動補上 $ 與千分位，並套用禁用語規則；Excel 內直接輸入不會即時改寫。</t>
        </r>
      </text>
    </comment>
    <comment ref="D47" authorId="0" shapeId="0" xr:uid="{00000000-0006-0000-0100-000045000000}">
      <text>
        <r>
          <rPr>
            <sz val="11"/>
            <color theme="1"/>
            <rFont val="新細明體"/>
            <family val="2"/>
            <scheme val="minor"/>
          </rPr>
          <t>填寫規則：項目文字04字
匯回 BODA 時會自動補上 $ 與千分位，並套用禁用語規則；Excel 內直接輸入不會即時改寫。</t>
        </r>
      </text>
    </comment>
    <comment ref="I47" authorId="0" shapeId="0" xr:uid="{00000000-0006-0000-0100-000046000000}">
      <text>
        <r>
          <rPr>
            <sz val="11"/>
            <color theme="1"/>
            <rFont val="新細明體"/>
            <family val="2"/>
            <scheme val="minor"/>
          </rPr>
          <t>填寫規則：內文一排最多09字內
匯回 BODA 時會自動補上 $ 與千分位，並套用禁用語規則；Excel 內直接輸入不會即時改寫。</t>
        </r>
      </text>
    </comment>
    <comment ref="N47" authorId="0" shapeId="0" xr:uid="{00000000-0006-0000-0100-000047000000}">
      <text>
        <r>
          <rPr>
            <sz val="11"/>
            <color theme="1"/>
            <rFont val="新細明體"/>
            <family val="2"/>
            <scheme val="minor"/>
          </rPr>
          <t>填寫規則：內文一排最多09字內
匯回 BODA 時會自動補上 $ 與千分位，並套用禁用語規則；Excel 內直接輸入不會即時改寫。</t>
        </r>
      </text>
    </comment>
    <comment ref="D48" authorId="0" shapeId="0" xr:uid="{00000000-0006-0000-0100-000048000000}">
      <text>
        <r>
          <rPr>
            <sz val="11"/>
            <color theme="1"/>
            <rFont val="新細明體"/>
            <family val="2"/>
            <scheme val="minor"/>
          </rPr>
          <t>填寫規則：項目文字04字
匯回 BODA 時會自動補上 $ 與千分位，並套用禁用語規則；Excel 內直接輸入不會即時改寫。</t>
        </r>
      </text>
    </comment>
    <comment ref="I48" authorId="0" shapeId="0" xr:uid="{00000000-0006-0000-0100-000049000000}">
      <text>
        <r>
          <rPr>
            <sz val="11"/>
            <color theme="1"/>
            <rFont val="新細明體"/>
            <family val="2"/>
            <scheme val="minor"/>
          </rPr>
          <t>填寫規則：內文一排最多09字內
匯回 BODA 時會自動補上 $ 與千分位，並套用禁用語規則；Excel 內直接輸入不會即時改寫。</t>
        </r>
      </text>
    </comment>
    <comment ref="N48" authorId="0" shapeId="0" xr:uid="{00000000-0006-0000-0100-00004A000000}">
      <text>
        <r>
          <rPr>
            <sz val="11"/>
            <color theme="1"/>
            <rFont val="新細明體"/>
            <family val="2"/>
            <scheme val="minor"/>
          </rPr>
          <t>填寫規則：內文一排最多09字內
匯回 BODA 時會自動補上 $ 與千分位，並套用禁用語規則；Excel 內直接輸入不會即時改寫。</t>
        </r>
      </text>
    </comment>
    <comment ref="D49" authorId="0" shapeId="0" xr:uid="{00000000-0006-0000-0100-00004B000000}">
      <text>
        <r>
          <rPr>
            <sz val="11"/>
            <color theme="1"/>
            <rFont val="新細明體"/>
            <family val="2"/>
            <scheme val="minor"/>
          </rPr>
          <t>填寫規則：項目文字04字
匯回 BODA 時會自動補上 $ 與千分位，並套用禁用語規則；Excel 內直接輸入不會即時改寫。</t>
        </r>
      </text>
    </comment>
    <comment ref="I49" authorId="0" shapeId="0" xr:uid="{00000000-0006-0000-0100-00004C000000}">
      <text>
        <r>
          <rPr>
            <sz val="11"/>
            <color theme="1"/>
            <rFont val="新細明體"/>
            <family val="2"/>
            <scheme val="minor"/>
          </rPr>
          <t>填寫規則：內文一排最多09字內
匯回 BODA 時會自動補上 $ 與千分位，並套用禁用語規則；Excel 內直接輸入不會即時改寫。</t>
        </r>
      </text>
    </comment>
    <comment ref="N49" authorId="0" shapeId="0" xr:uid="{00000000-0006-0000-0100-00004D000000}">
      <text>
        <r>
          <rPr>
            <sz val="11"/>
            <color theme="1"/>
            <rFont val="新細明體"/>
            <family val="2"/>
            <scheme val="minor"/>
          </rPr>
          <t>填寫規則：內文一排最多09字內
匯回 BODA 時會自動補上 $ 與千分位，並套用禁用語規則；Excel 內直接輸入不會即時改寫。</t>
        </r>
      </text>
    </comment>
    <comment ref="D50" authorId="0" shapeId="0" xr:uid="{00000000-0006-0000-0100-00004E000000}">
      <text>
        <r>
          <rPr>
            <sz val="11"/>
            <color theme="1"/>
            <rFont val="新細明體"/>
            <family val="2"/>
            <scheme val="minor"/>
          </rPr>
          <t>填寫規則：項目文字04字
匯回 BODA 時會自動補上 $ 與千分位，並套用禁用語規則；Excel 內直接輸入不會即時改寫。</t>
        </r>
      </text>
    </comment>
    <comment ref="I50" authorId="0" shapeId="0" xr:uid="{00000000-0006-0000-0100-00004F000000}">
      <text>
        <r>
          <rPr>
            <sz val="11"/>
            <color theme="1"/>
            <rFont val="新細明體"/>
            <family val="2"/>
            <scheme val="minor"/>
          </rPr>
          <t>填寫規則：內文一排最多09字內
匯回 BODA 時會自動補上 $ 與千分位，並套用禁用語規則；Excel 內直接輸入不會即時改寫。</t>
        </r>
      </text>
    </comment>
    <comment ref="N50" authorId="0" shapeId="0" xr:uid="{00000000-0006-0000-0100-000050000000}">
      <text>
        <r>
          <rPr>
            <sz val="11"/>
            <color theme="1"/>
            <rFont val="新細明體"/>
            <family val="2"/>
            <scheme val="minor"/>
          </rPr>
          <t>填寫規則：內文一排最多09字內
匯回 BODA 時會自動補上 $ 與千分位，並套用禁用語規則；Excel 內直接輸入不會即時改寫。</t>
        </r>
      </text>
    </comment>
    <comment ref="E53" authorId="0" shapeId="0" xr:uid="{00000000-0006-0000-0100-000051000000}">
      <text>
        <r>
          <rPr>
            <sz val="11"/>
            <color theme="1"/>
            <rFont val="新細明體"/>
            <family val="2"/>
            <scheme val="minor"/>
          </rPr>
          <t>Icon 與 Logo 二選一。請輸入素材庫名稱，例如：房子。</t>
        </r>
      </text>
    </comment>
    <comment ref="J53" authorId="0" shapeId="0" xr:uid="{00000000-0006-0000-0100-000052000000}">
      <text>
        <r>
          <rPr>
            <sz val="11"/>
            <color theme="1"/>
            <rFont val="新細明體"/>
            <family val="2"/>
            <scheme val="minor"/>
          </rPr>
          <t>Icon 與 Logo 二選一。請輸入素材庫名稱，例如：房子。</t>
        </r>
      </text>
    </comment>
    <comment ref="O53" authorId="0" shapeId="0" xr:uid="{00000000-0006-0000-0100-000053000000}">
      <text>
        <r>
          <rPr>
            <sz val="11"/>
            <color theme="1"/>
            <rFont val="新細明體"/>
            <family val="2"/>
            <scheme val="minor"/>
          </rPr>
          <t>Icon 與 Logo 二選一。請輸入素材庫名稱，例如：房子。</t>
        </r>
      </text>
    </comment>
    <comment ref="T53" authorId="0" shapeId="0" xr:uid="{00000000-0006-0000-0100-000054000000}">
      <text>
        <r>
          <rPr>
            <sz val="11"/>
            <color theme="1"/>
            <rFont val="新細明體"/>
            <family val="2"/>
            <scheme val="minor"/>
          </rPr>
          <t>Icon 與 Logo 二選一。請輸入素材庫名稱，例如：房子。</t>
        </r>
      </text>
    </comment>
    <comment ref="AB53" authorId="0" shapeId="0" xr:uid="{00000000-0006-0000-0100-000055000000}">
      <text>
        <r>
          <rPr>
            <sz val="11"/>
            <color theme="1"/>
            <rFont val="新細明體"/>
            <family val="2"/>
            <scheme val="minor"/>
          </rPr>
          <t>Icon 與 Logo 二選一。請輸入素材庫名稱，例如：房子。</t>
        </r>
      </text>
    </comment>
    <comment ref="E54" authorId="0" shapeId="0" xr:uid="{00000000-0006-0000-0100-000056000000}">
      <text>
        <r>
          <rPr>
            <sz val="11"/>
            <color theme="1"/>
            <rFont val="新細明體"/>
            <family val="2"/>
            <scheme val="minor"/>
          </rPr>
          <t>Icon 與 Logo 二選一。請輸入 Logo 圖檔名，例如：三星.png。</t>
        </r>
      </text>
    </comment>
    <comment ref="J54" authorId="0" shapeId="0" xr:uid="{00000000-0006-0000-0100-000057000000}">
      <text>
        <r>
          <rPr>
            <sz val="11"/>
            <color theme="1"/>
            <rFont val="新細明體"/>
            <family val="2"/>
            <scheme val="minor"/>
          </rPr>
          <t>Icon 與 Logo 二選一。請輸入 Logo 圖檔名，例如：三星.png。</t>
        </r>
      </text>
    </comment>
    <comment ref="O54" authorId="0" shapeId="0" xr:uid="{00000000-0006-0000-0100-000058000000}">
      <text>
        <r>
          <rPr>
            <sz val="11"/>
            <color theme="1"/>
            <rFont val="新細明體"/>
            <family val="2"/>
            <scheme val="minor"/>
          </rPr>
          <t>Icon 與 Logo 二選一。請輸入 Logo 圖檔名，例如：三星.png。</t>
        </r>
      </text>
    </comment>
    <comment ref="T54" authorId="0" shapeId="0" xr:uid="{00000000-0006-0000-0100-000059000000}">
      <text>
        <r>
          <rPr>
            <sz val="11"/>
            <color theme="1"/>
            <rFont val="新細明體"/>
            <family val="2"/>
            <scheme val="minor"/>
          </rPr>
          <t>Icon 與 Logo 二選一。請輸入 Logo 圖檔名，例如：三星.png。</t>
        </r>
      </text>
    </comment>
    <comment ref="AB54" authorId="0" shapeId="0" xr:uid="{00000000-0006-0000-0100-00005A000000}">
      <text>
        <r>
          <rPr>
            <sz val="11"/>
            <color theme="1"/>
            <rFont val="新細明體"/>
            <family val="2"/>
            <scheme val="minor"/>
          </rPr>
          <t>Icon 與 Logo 二選一。請輸入 Logo 圖檔名，例如：三星.png。</t>
        </r>
      </text>
    </comment>
    <comment ref="C55" authorId="0" shapeId="0" xr:uid="{00000000-0006-0000-0100-00005B000000}">
      <text>
        <r>
          <rPr>
            <sz val="11"/>
            <color theme="1"/>
            <rFont val="新細明體"/>
            <family val="2"/>
            <scheme val="minor"/>
          </rPr>
          <t>吸底文案最多 5 字；中文算 1，英數與半形符號算 0.5。</t>
        </r>
      </text>
    </comment>
    <comment ref="G55" authorId="0" shapeId="0" xr:uid="{00000000-0006-0000-0100-00005C000000}">
      <text>
        <r>
          <rPr>
            <sz val="11"/>
            <color theme="1"/>
            <rFont val="新細明體"/>
            <family val="2"/>
            <scheme val="minor"/>
          </rPr>
          <t>實際字數：中文 1 字；英數與半形符號 0.5 字；上限 5。</t>
        </r>
      </text>
    </comment>
    <comment ref="H55" authorId="0" shapeId="0" xr:uid="{00000000-0006-0000-0100-00005D000000}">
      <text>
        <r>
          <rPr>
            <sz val="11"/>
            <color theme="1"/>
            <rFont val="新細明體"/>
            <family val="2"/>
            <scheme val="minor"/>
          </rPr>
          <t>吸底文案最多 5 字；中文算 1，英數與半形符號算 0.5。</t>
        </r>
      </text>
    </comment>
    <comment ref="L55" authorId="0" shapeId="0" xr:uid="{00000000-0006-0000-0100-00005E000000}">
      <text>
        <r>
          <rPr>
            <sz val="11"/>
            <color theme="1"/>
            <rFont val="新細明體"/>
            <family val="2"/>
            <scheme val="minor"/>
          </rPr>
          <t>實際字數：中文 1 字；英數與半形符號 0.5 字；上限 5。</t>
        </r>
      </text>
    </comment>
    <comment ref="M55" authorId="0" shapeId="0" xr:uid="{00000000-0006-0000-0100-00005F000000}">
      <text>
        <r>
          <rPr>
            <sz val="11"/>
            <color theme="1"/>
            <rFont val="新細明體"/>
            <family val="2"/>
            <scheme val="minor"/>
          </rPr>
          <t>吸底文案最多 5 字；中文算 1，英數與半形符號算 0.5。</t>
        </r>
      </text>
    </comment>
    <comment ref="Q55" authorId="0" shapeId="0" xr:uid="{00000000-0006-0000-0100-000060000000}">
      <text>
        <r>
          <rPr>
            <sz val="11"/>
            <color theme="1"/>
            <rFont val="新細明體"/>
            <family val="2"/>
            <scheme val="minor"/>
          </rPr>
          <t>實際字數：中文 1 字；英數與半形符號 0.5 字；上限 5。</t>
        </r>
      </text>
    </comment>
    <comment ref="R55" authorId="0" shapeId="0" xr:uid="{00000000-0006-0000-0100-000061000000}">
      <text>
        <r>
          <rPr>
            <sz val="11"/>
            <color theme="1"/>
            <rFont val="新細明體"/>
            <family val="2"/>
            <scheme val="minor"/>
          </rPr>
          <t>吸底文案最多 5 字；中文算 1，英數與半形符號算 0.5。</t>
        </r>
      </text>
    </comment>
    <comment ref="Y55" authorId="0" shapeId="0" xr:uid="{00000000-0006-0000-0100-000062000000}">
      <text>
        <r>
          <rPr>
            <sz val="11"/>
            <color theme="1"/>
            <rFont val="新細明體"/>
            <family val="2"/>
            <scheme val="minor"/>
          </rPr>
          <t>實際字數：中文 1 字；英數與半形符號 0.5 字；上限 5。</t>
        </r>
      </text>
    </comment>
    <comment ref="Z55" authorId="0" shapeId="0" xr:uid="{00000000-0006-0000-0100-000063000000}">
      <text>
        <r>
          <rPr>
            <sz val="11"/>
            <color theme="1"/>
            <rFont val="新細明體"/>
            <family val="2"/>
            <scheme val="minor"/>
          </rPr>
          <t>吸底文案最多 5 字；中文算 1，英數與半形符號算 0.5。</t>
        </r>
      </text>
    </comment>
    <comment ref="AG55" authorId="0" shapeId="0" xr:uid="{00000000-0006-0000-0100-000064000000}">
      <text>
        <r>
          <rPr>
            <sz val="11"/>
            <color theme="1"/>
            <rFont val="新細明體"/>
            <family val="2"/>
            <scheme val="minor"/>
          </rPr>
          <t>實際字數：中文 1 字；英數與半形符號 0.5 字；上限 5。</t>
        </r>
      </text>
    </comment>
  </commentList>
</comments>
</file>

<file path=xl/sharedStrings.xml><?xml version="1.0" encoding="utf-8"?>
<sst xmlns="http://schemas.openxmlformats.org/spreadsheetml/2006/main" count="1957" uniqueCount="564">
  <si>
    <t>BODA 工單總覽</t>
  </si>
  <si>
    <t>包套(等級)</t>
  </si>
  <si>
    <t>B+ BOD A</t>
  </si>
  <si>
    <t>MSBN 額度</t>
  </si>
  <si>
    <t>輸出時間</t>
  </si>
  <si>
    <t>負責人</t>
  </si>
  <si>
    <t/>
  </si>
  <si>
    <t>版本</t>
  </si>
  <si>
    <t>V1</t>
  </si>
  <si>
    <t>更新重點</t>
  </si>
  <si>
    <t>活動時間</t>
  </si>
  <si>
    <t>美術 Deadline</t>
  </si>
  <si>
    <t>總製作張數</t>
  </si>
  <si>
    <t>工作項目名稱</t>
  </si>
  <si>
    <t>行銷目標</t>
  </si>
  <si>
    <t>目標客群</t>
  </si>
  <si>
    <t>曝光資源共用文案與色彩</t>
  </si>
  <si>
    <t>背景顏色</t>
  </si>
  <si>
    <t>#ff69b4</t>
  </si>
  <si>
    <t>連動規則</t>
  </si>
  <si>
    <t>與「曝光資源」背景色、匯入工單統一背景及 MSBN D 系列卡片背景同步；此處記錄匯出當下色號。</t>
  </si>
  <si>
    <t>品牌名</t>
  </si>
  <si>
    <t>上限 9</t>
  </si>
  <si>
    <t>曝光資源品牌名稱；中文 1、英數 0.5。</t>
  </si>
  <si>
    <t>主標</t>
  </si>
  <si>
    <t>上限 8</t>
  </si>
  <si>
    <t>曝光資源主標；中文 1、英數 0.5。</t>
  </si>
  <si>
    <t>副標</t>
  </si>
  <si>
    <t>上限 7</t>
  </si>
  <si>
    <t>曝光資源副標；中文 1、英數 0.5。</t>
  </si>
  <si>
    <t>日期／警語</t>
  </si>
  <si>
    <t>上限 14</t>
  </si>
  <si>
    <t>日期、活動期間或警語；中文 1、英數 0.5。</t>
  </si>
  <si>
    <t>ICON 獨立文案</t>
  </si>
  <si>
    <t>上限 2</t>
  </si>
  <si>
    <t>Search ICON 文字版；也可改用 LOGO／商品圖；中文 1、英數 0.5。</t>
  </si>
  <si>
    <t>曝光資源圖片</t>
  </si>
  <si>
    <t>上限 3張</t>
  </si>
  <si>
    <t>讀取曝品檔名；多張請用逗號分隔。</t>
  </si>
  <si>
    <t>製作曝光資源（依包套／等級自動切換；預設張數可手動調整，選配預設為 0）</t>
  </si>
  <si>
    <t>版位</t>
  </si>
  <si>
    <t>類型</t>
  </si>
  <si>
    <t>張數</t>
  </si>
  <si>
    <t>尺寸</t>
  </si>
  <si>
    <t>格式</t>
  </si>
  <si>
    <t>規範字數</t>
  </si>
  <si>
    <t>提醒</t>
  </si>
  <si>
    <t>系統排版</t>
  </si>
  <si>
    <t>Check</t>
  </si>
  <si>
    <t>本次工單版配（來源：工單生成器畫布；內容欄請至 MS Layout 填寫）</t>
  </si>
  <si>
    <t>版位名稱</t>
  </si>
  <si>
    <t>Band</t>
  </si>
  <si>
    <t>位置數</t>
  </si>
  <si>
    <t>素材檔案</t>
  </si>
  <si>
    <t>字數／欄位規則</t>
  </si>
  <si>
    <t>MS Layout</t>
  </si>
  <si>
    <t>副區</t>
  </si>
  <si>
    <t>副區 一排4（左1／左2／右1／右2）</t>
  </si>
  <si>
    <t>副區-F-1-1.jpg / 副區-F-1-1.jpg / 副區-F-1-1.jpg / 副區-F-1-1.jpg</t>
  </si>
  <si>
    <t>(檔名/券名)；限5個字；限6個字</t>
  </si>
  <si>
    <t>綠色欄位可填；固定欄位已鎖</t>
  </si>
  <si>
    <t>第 3 列</t>
  </si>
  <si>
    <t>待填</t>
  </si>
  <si>
    <t>MSBN</t>
  </si>
  <si>
    <t>A-1-1</t>
  </si>
  <si>
    <t>MSBN-A-1-1.jpg</t>
  </si>
  <si>
    <t>促標最多7字內；品名一排最多8字；圓標05字內；小字最多可9個字內；逛逛去；每行限5字；(圖檔名)；(檔名)</t>
  </si>
  <si>
    <t>第 11 列</t>
  </si>
  <si>
    <t>第 20 列</t>
  </si>
  <si>
    <t>B-3-3</t>
  </si>
  <si>
    <t>MSBN-B-3-3.jpg</t>
  </si>
  <si>
    <t>(檔名/券名)；品名一排7字內；逛逛去</t>
  </si>
  <si>
    <t>第 28 列</t>
  </si>
  <si>
    <t>B-1-3</t>
  </si>
  <si>
    <t>MSBN-B-1-3.jpg</t>
  </si>
  <si>
    <t>(檔名/券名)；文案最多10個字以內；逛逛去；代言人小字8字內；(圖檔名)</t>
  </si>
  <si>
    <t>第 33 列</t>
  </si>
  <si>
    <t>C-1-5</t>
  </si>
  <si>
    <t>MSBN-C-1-5.jpg</t>
  </si>
  <si>
    <t>(圖檔名)；促標最多6字；文案一排4字；(檔名/券名)；領券去</t>
  </si>
  <si>
    <t>第 38 列</t>
  </si>
  <si>
    <t>D-1-3</t>
  </si>
  <si>
    <t>MSBN-D-1-3.jpg</t>
  </si>
  <si>
    <t>內文一排最多09字內；項目文字04字</t>
  </si>
  <si>
    <t>第 45 列</t>
  </si>
  <si>
    <t>素材名稱</t>
  </si>
  <si>
    <t>版位／規格</t>
  </si>
  <si>
    <t>Layout（綠色欄位可填；固定欄位與規則已鎖定）</t>
  </si>
  <si>
    <t>視覺參考（目前系統實際版位）</t>
  </si>
  <si>
    <t>中文 1 字、英數與半形符號 0.5 字；純數字自動以 $／千分位顯示；匯入 BODA 後混合文案也會整理；禁用語會阻擋並標紅</t>
  </si>
  <si>
    <t>圖片僅供版配與欄位位置對照，不代表最終正式稿</t>
  </si>
  <si>
    <t>副區 一排4（左1／左2／右1／右2）
左1：款式 1-1（F-1-1）
左2：款式 1-1（F-1-1）
右1：款式 1-1（F-1-1）
右2：款式 1-1（F-1-1）
Band 1</t>
  </si>
  <si>
    <t>左1</t>
  </si>
  <si>
    <t>左2</t>
  </si>
  <si>
    <t>右1</t>
  </si>
  <si>
    <t>右2</t>
  </si>
  <si>
    <t>LOGO圖</t>
  </si>
  <si>
    <t>商品 (多圖用逗號分開)</t>
  </si>
  <si>
    <t>品名</t>
  </si>
  <si>
    <t>警語</t>
  </si>
  <si>
    <t>A-1-1
MSBN-A-1-1
Band 2</t>
  </si>
  <si>
    <t>左右</t>
  </si>
  <si>
    <t>促標</t>
  </si>
  <si>
    <t>代言人圖</t>
  </si>
  <si>
    <t>圓標</t>
  </si>
  <si>
    <t>簽名小字</t>
  </si>
  <si>
    <t>簽名圖</t>
  </si>
  <si>
    <t>CTA (放03字)</t>
  </si>
  <si>
    <t>副區 一排4（左1／左2／右1／右2）
左1：款式 1-1（F-1-1）
左2：款式 1-1（F-1-1）
右1：款式 1-1（F-1-1）
右2：款式 1-1（F-1-1）
Band 3</t>
  </si>
  <si>
    <t>B-3-3
MSBN-B-3-3
Band 4</t>
  </si>
  <si>
    <t>右</t>
  </si>
  <si>
    <t>中</t>
  </si>
  <si>
    <t>左</t>
  </si>
  <si>
    <t>—</t>
  </si>
  <si>
    <t>B-1-3
MSBN-B-1-3
Band 5</t>
  </si>
  <si>
    <t>代言人小字</t>
  </si>
  <si>
    <t>文案</t>
  </si>
  <si>
    <t>商品圖</t>
  </si>
  <si>
    <t>C-1-5
MSBN-C-1-5
Band 6</t>
  </si>
  <si>
    <t>分欄</t>
  </si>
  <si>
    <t>D-1-3
MSBN-D-1-3
Band 7</t>
  </si>
  <si>
    <t>項目文字</t>
  </si>
  <si>
    <t>內文</t>
  </si>
  <si>
    <t>第1顆</t>
  </si>
  <si>
    <t>第2顆</t>
  </si>
  <si>
    <t>第3顆</t>
  </si>
  <si>
    <t>第4顆</t>
  </si>
  <si>
    <t>第5顆</t>
  </si>
  <si>
    <t>吸底圖</t>
  </si>
  <si>
    <t>填你要的資訊
最少2格、最多5格
（不要的不填即可）</t>
  </si>
  <si>
    <t>Icon與Logo
2選1填即可</t>
  </si>
  <si>
    <t>Icon</t>
  </si>
  <si>
    <t>bod-logo</t>
  </si>
  <si>
    <t>(輸入許願的Icon，例：房子)</t>
  </si>
  <si>
    <t>(需要再填即可)</t>
  </si>
  <si>
    <t>Logo</t>
  </si>
  <si>
    <t>(輸入圖檔名，例：三星.png)</t>
  </si>
  <si>
    <t>主會場</t>
  </si>
  <si>
    <t>等級</t>
  </si>
  <si>
    <t>MSBN額度</t>
  </si>
  <si>
    <t>資源1</t>
  </si>
  <si>
    <t>資源2</t>
  </si>
  <si>
    <t>資源3</t>
  </si>
  <si>
    <t>資源4</t>
  </si>
  <si>
    <t>資源5</t>
  </si>
  <si>
    <t>資源6</t>
  </si>
  <si>
    <t>資源7</t>
  </si>
  <si>
    <t>資源8</t>
  </si>
  <si>
    <t>資源9</t>
  </si>
  <si>
    <t>資源10</t>
  </si>
  <si>
    <t>資源11</t>
  </si>
  <si>
    <t>資源12</t>
  </si>
  <si>
    <t>類型1</t>
  </si>
  <si>
    <t>類型2</t>
  </si>
  <si>
    <t>類型3</t>
  </si>
  <si>
    <t>類型4</t>
  </si>
  <si>
    <t>類型5</t>
  </si>
  <si>
    <t>類型6</t>
  </si>
  <si>
    <t>類型7</t>
  </si>
  <si>
    <t>類型8</t>
  </si>
  <si>
    <t>類型9</t>
  </si>
  <si>
    <t>類型10</t>
  </si>
  <si>
    <t>類型11</t>
  </si>
  <si>
    <t>類型12</t>
  </si>
  <si>
    <t>key</t>
  </si>
  <si>
    <t>顯示名稱</t>
  </si>
  <si>
    <t>可用</t>
  </si>
  <si>
    <t>A Brand star (Mega)</t>
  </si>
  <si>
    <t>LPBN</t>
  </si>
  <si>
    <t>預設</t>
  </si>
  <si>
    <t>APP 1200×550
PC 1200×400</t>
  </si>
  <si>
    <t>JPG</t>
  </si>
  <si>
    <t>主標≤8；副標≤7；日期／警語≤14</t>
  </si>
  <si>
    <t>APP、PC 各 1 張</t>
  </si>
  <si>
    <t>LPBN_APP／LPBN_PC</t>
  </si>
  <si>
    <t>是</t>
  </si>
  <si>
    <t>A Brand star (Mega) 資交</t>
  </si>
  <si>
    <t>DDCard</t>
  </si>
  <si>
    <t>DD Card BN (APP)</t>
  </si>
  <si>
    <t>531×792</t>
  </si>
  <si>
    <t>品牌名≤9；主標≤8；副標≤7；日期/警語≤14</t>
  </si>
  <si>
    <t>LOGO、商品圖；CTA 依版型</t>
  </si>
  <si>
    <t>ddcard無logo／ddcard方logo／ddcard橫logo</t>
  </si>
  <si>
    <t>A 精選套裝</t>
  </si>
  <si>
    <t>HBN</t>
  </si>
  <si>
    <t>HBN (PC)</t>
  </si>
  <si>
    <t>1200×360</t>
  </si>
  <si>
    <t>橫式或方形 LOGO 版</t>
  </si>
  <si>
    <t>HBN_橫式LOGO／HBN_方式LOGO</t>
  </si>
  <si>
    <t>A 品牌旗艦MDD</t>
  </si>
  <si>
    <t>活動總覽</t>
  </si>
  <si>
    <t>依活動規格</t>
  </si>
  <si>
    <t>JPG/PNG</t>
  </si>
  <si>
    <t>依活動需求</t>
  </si>
  <si>
    <t>目前系統尚未提供可編輯版型</t>
  </si>
  <si>
    <t>尚未提供版型</t>
  </si>
  <si>
    <t>否</t>
  </si>
  <si>
    <t>A 品牌旗艦MDD 資交</t>
  </si>
  <si>
    <t>首頁LOGO牆</t>
  </si>
  <si>
    <t>首頁 LOGO 牆</t>
  </si>
  <si>
    <t>402×483</t>
  </si>
  <si>
    <t>LOGO／人物或商品圖可縮放</t>
  </si>
  <si>
    <t>LOGO 位於曝品或人物範圍內，可用滑鼠縮放</t>
  </si>
  <si>
    <t>AR</t>
  </si>
  <si>
    <t>FB_Post</t>
  </si>
  <si>
    <t>AMS BN</t>
  </si>
  <si>
    <t>Coin_page</t>
  </si>
  <si>
    <t>IG</t>
  </si>
  <si>
    <t>SearchIcon</t>
  </si>
  <si>
    <t>SearchImage</t>
  </si>
  <si>
    <t>選配</t>
  </si>
  <si>
    <t>100×100（依規範）</t>
  </si>
  <si>
    <t>文案≤6 或 LOGO；2擇1</t>
  </si>
  <si>
    <t>B+ BOD A 資交</t>
  </si>
  <si>
    <t>FB POST</t>
  </si>
  <si>
    <t>1200×630</t>
  </si>
  <si>
    <t>方 LOGO／橫 LOGO</t>
  </si>
  <si>
    <t>FB_POST_方LOGO／FB_POST_橫LOGO</t>
  </si>
  <si>
    <t>B+ BOD B (Mega)</t>
  </si>
  <si>
    <t>1077×264（依規範）</t>
  </si>
  <si>
    <t>依 AMS 規格</t>
  </si>
  <si>
    <t>B+ 基礎套裝</t>
  </si>
  <si>
    <t>Coin Page BN</t>
  </si>
  <si>
    <t>1200×391</t>
  </si>
  <si>
    <t>Coin_pageBN_APP方LOGO／Coin_pageBN_APP橫LOGO</t>
  </si>
  <si>
    <t>B JBP多店</t>
  </si>
  <si>
    <t>SCPN</t>
  </si>
  <si>
    <t>900×1600</t>
  </si>
  <si>
    <t>IG方logo排版／IG橫logo排版</t>
  </si>
  <si>
    <t>B 金牌 (Mega)</t>
  </si>
  <si>
    <t>Search ICON</t>
  </si>
  <si>
    <t>120×120＋84×84</t>
  </si>
  <si>
    <t>PNG</t>
  </si>
  <si>
    <t>ICON 文案≤2；或 LOGO／商品圖</t>
  </si>
  <si>
    <t>120×120 建議 &lt;50KB，另輸出 84×84</t>
  </si>
  <si>
    <t>SearchICON_LOGO／PRODUCT／TEXT</t>
  </si>
  <si>
    <t>Search Image</t>
  </si>
  <si>
    <t>1125×156</t>
  </si>
  <si>
    <t>副標≤7；LOGO 1～3 個</t>
  </si>
  <si>
    <t>依選用版型提供 1～3 個 LOGO</t>
  </si>
  <si>
    <t>Search_Image1logo／2logo／3logo</t>
  </si>
  <si>
    <t>SCBN／SCPN</t>
  </si>
  <si>
    <t>1200×200</t>
  </si>
  <si>
    <t>品牌名≤9；副標≤7；CTA</t>
  </si>
  <si>
    <t>商城橫幅</t>
  </si>
  <si>
    <t>SCBN_APP</t>
  </si>
  <si>
    <t>BODA_WORKORDER_V2</t>
  </si>
  <si>
    <t>kind</t>
  </si>
  <si>
    <t>sourceKey</t>
  </si>
  <si>
    <t>band</t>
  </si>
  <si>
    <t>order</t>
  </si>
  <si>
    <t>family</t>
  </si>
  <si>
    <t>variant</t>
  </si>
  <si>
    <t>combo</t>
  </si>
  <si>
    <t>msbnFile</t>
  </si>
  <si>
    <t>position</t>
  </si>
  <si>
    <t>label</t>
  </si>
  <si>
    <t>address</t>
  </si>
  <si>
    <t>header</t>
  </si>
  <si>
    <t>file</t>
  </si>
  <si>
    <t>locked</t>
  </si>
  <si>
    <t>hint</t>
  </si>
  <si>
    <t>targetKey</t>
  </si>
  <si>
    <t>subarea</t>
  </si>
  <si>
    <t>top:0</t>
  </si>
  <si>
    <t>F</t>
  </si>
  <si>
    <t>D4</t>
  </si>
  <si>
    <t>款式 1-1</t>
  </si>
  <si>
    <t>副區-F-1-1.jpg</t>
  </si>
  <si>
    <t>(檔名/券名)</t>
  </si>
  <si>
    <t>商品</t>
  </si>
  <si>
    <t>D5</t>
  </si>
  <si>
    <t>D6</t>
  </si>
  <si>
    <t>限5個字</t>
  </si>
  <si>
    <t>D7</t>
  </si>
  <si>
    <t>限6個字</t>
  </si>
  <si>
    <t>top:1</t>
  </si>
  <si>
    <t>H4</t>
  </si>
  <si>
    <t>H5</t>
  </si>
  <si>
    <t>H6</t>
  </si>
  <si>
    <t>H7</t>
  </si>
  <si>
    <t>top:2</t>
  </si>
  <si>
    <t>L4</t>
  </si>
  <si>
    <t>L5</t>
  </si>
  <si>
    <t>L6</t>
  </si>
  <si>
    <t>L7</t>
  </si>
  <si>
    <t>top:3</t>
  </si>
  <si>
    <t>P4</t>
  </si>
  <si>
    <t>P5</t>
  </si>
  <si>
    <t>P6</t>
  </si>
  <si>
    <t>P7</t>
  </si>
  <si>
    <t>msbn</t>
  </si>
  <si>
    <t>msbn:0</t>
  </si>
  <si>
    <t>D12</t>
  </si>
  <si>
    <t>促標最多7字內</t>
  </si>
  <si>
    <t>H12</t>
  </si>
  <si>
    <t>(圖檔名)</t>
  </si>
  <si>
    <t>D13</t>
  </si>
  <si>
    <t>品名一排最多8字</t>
  </si>
  <si>
    <t>H13</t>
  </si>
  <si>
    <t>D14</t>
  </si>
  <si>
    <t>H14</t>
  </si>
  <si>
    <t>圓標05字內</t>
  </si>
  <si>
    <t>D15</t>
  </si>
  <si>
    <t>小字最多可9個字內</t>
  </si>
  <si>
    <t>H15</t>
  </si>
  <si>
    <t>每行限5字</t>
  </si>
  <si>
    <t>H16</t>
  </si>
  <si>
    <t>H17</t>
  </si>
  <si>
    <t>(檔名)</t>
  </si>
  <si>
    <t>CTA</t>
  </si>
  <si>
    <t>H18</t>
  </si>
  <si>
    <t>逛逛去</t>
  </si>
  <si>
    <t>msbn-sub:1:0</t>
  </si>
  <si>
    <t>D21</t>
  </si>
  <si>
    <t>D22</t>
  </si>
  <si>
    <t>D23</t>
  </si>
  <si>
    <t>D24</t>
  </si>
  <si>
    <t>msbn-sub:1:1</t>
  </si>
  <si>
    <t>H21</t>
  </si>
  <si>
    <t>H22</t>
  </si>
  <si>
    <t>H23</t>
  </si>
  <si>
    <t>H24</t>
  </si>
  <si>
    <t>msbn-sub:1:2</t>
  </si>
  <si>
    <t>L21</t>
  </si>
  <si>
    <t>L22</t>
  </si>
  <si>
    <t>L23</t>
  </si>
  <si>
    <t>L24</t>
  </si>
  <si>
    <t>msbn-sub:1:3</t>
  </si>
  <si>
    <t>P21</t>
  </si>
  <si>
    <t>P22</t>
  </si>
  <si>
    <t>P23</t>
  </si>
  <si>
    <t>P24</t>
  </si>
  <si>
    <t>msbn:2</t>
  </si>
  <si>
    <t>D29</t>
  </si>
  <si>
    <t>D30</t>
  </si>
  <si>
    <t>品名一排7字內</t>
  </si>
  <si>
    <t>D31</t>
  </si>
  <si>
    <t>H29</t>
  </si>
  <si>
    <t>H30</t>
  </si>
  <si>
    <t>H31</t>
  </si>
  <si>
    <t>L29</t>
  </si>
  <si>
    <t>L30</t>
  </si>
  <si>
    <t>L31</t>
  </si>
  <si>
    <t>msbn:3</t>
  </si>
  <si>
    <t>D34</t>
  </si>
  <si>
    <t>代言人小字8字內</t>
  </si>
  <si>
    <t>H34</t>
  </si>
  <si>
    <t>D35</t>
  </si>
  <si>
    <t>H35</t>
  </si>
  <si>
    <t>文案最多10個字以內</t>
  </si>
  <si>
    <t>D36</t>
  </si>
  <si>
    <t>H36</t>
  </si>
  <si>
    <t>msbn:4</t>
  </si>
  <si>
    <t>D40</t>
  </si>
  <si>
    <t>productImg</t>
  </si>
  <si>
    <t>I40</t>
  </si>
  <si>
    <t>促標最多6字</t>
  </si>
  <si>
    <t>promo2</t>
  </si>
  <si>
    <t>N40</t>
  </si>
  <si>
    <t>promo</t>
  </si>
  <si>
    <t>I41</t>
  </si>
  <si>
    <t>文案一排4字</t>
  </si>
  <si>
    <t>copy2</t>
  </si>
  <si>
    <t>N41</t>
  </si>
  <si>
    <t>copy</t>
  </si>
  <si>
    <t>N42</t>
  </si>
  <si>
    <t>logoImg</t>
  </si>
  <si>
    <t>N43</t>
  </si>
  <si>
    <t>領券去</t>
  </si>
  <si>
    <t>cta</t>
  </si>
  <si>
    <t>msbn:5</t>
  </si>
  <si>
    <t>D46</t>
  </si>
  <si>
    <t>項目文字04字</t>
  </si>
  <si>
    <t>I46</t>
  </si>
  <si>
    <t>內文一排最多09字內</t>
  </si>
  <si>
    <t>N46</t>
  </si>
  <si>
    <t>D47</t>
  </si>
  <si>
    <t>I47</t>
  </si>
  <si>
    <t>N47</t>
  </si>
  <si>
    <t>D48</t>
  </si>
  <si>
    <t>I48</t>
  </si>
  <si>
    <t>N48</t>
  </si>
  <si>
    <t>D49</t>
  </si>
  <si>
    <t>I49</t>
  </si>
  <si>
    <t>N49</t>
  </si>
  <si>
    <t>D50</t>
  </si>
  <si>
    <t>I50</t>
  </si>
  <si>
    <t>N50</t>
  </si>
  <si>
    <t>BODA_BOTTOM_V1</t>
  </si>
  <si>
    <t>group</t>
  </si>
  <si>
    <t>title</t>
  </si>
  <si>
    <t>iconAddress</t>
  </si>
  <si>
    <t>logoAddress</t>
  </si>
  <si>
    <t>textAddress</t>
  </si>
  <si>
    <t>countAddress</t>
  </si>
  <si>
    <t>optional</t>
  </si>
  <si>
    <t>E53</t>
  </si>
  <si>
    <t>E54</t>
  </si>
  <si>
    <t>C55</t>
  </si>
  <si>
    <t>G55</t>
  </si>
  <si>
    <t>J53</t>
  </si>
  <si>
    <t>J54</t>
  </si>
  <si>
    <t>H55</t>
  </si>
  <si>
    <t>L55</t>
  </si>
  <si>
    <t>O53</t>
  </si>
  <si>
    <t>O54</t>
  </si>
  <si>
    <t>M55</t>
  </si>
  <si>
    <t>Q55</t>
  </si>
  <si>
    <t>T53</t>
  </si>
  <si>
    <t>T54</t>
  </si>
  <si>
    <t>R55</t>
  </si>
  <si>
    <t>Y55</t>
  </si>
  <si>
    <t>AB53</t>
  </si>
  <si>
    <t>AB54</t>
  </si>
  <si>
    <t>Z55</t>
  </si>
  <si>
    <t>AG55</t>
  </si>
  <si>
    <t>BODA_BOTTOM_STATE_V1</t>
  </si>
  <si>
    <t>JSON chunks</t>
  </si>
  <si>
    <t>{
  "format": "sticky-banner-project",
  "version": 2,
  "activeBannerIndex": 0,
  "sharpen": true,
  "banners": [
    {
      "slotCount": 5,
      "activeSlotIndex": 0,
      "accentColor": "red",
      "slots": [
        {
          "text": "主會場",
          "iconId": "bod-logo",
          "iconText": null
        },
        {
          "text": "",
          "iconId": null,
          "iconText": null
        },
        {
          "text": "",
          "iconId": null,
          "iconText": null
        },
        {
          "text": "",
          "iconId": null,
          "iconText": null
        },
        {
          "text": "",
          "iconId": null,
          "iconText": null
        }
      ]
    }
  ],
  "customIcons": []
}</t>
  </si>
  <si>
    <t>keyword</t>
  </si>
  <si>
    <t>replacement</t>
  </si>
  <si>
    <t>action</t>
  </si>
  <si>
    <t>撒</t>
  </si>
  <si>
    <t>自動改成"灑"</t>
  </si>
  <si>
    <t>replace</t>
  </si>
  <si>
    <t>購物金</t>
  </si>
  <si>
    <t>自動改成"優惠券"</t>
  </si>
  <si>
    <t>抵用券</t>
  </si>
  <si>
    <t>折價券</t>
  </si>
  <si>
    <t>蝦皮券</t>
  </si>
  <si>
    <t>蝦幣券</t>
  </si>
  <si>
    <t>折扣券</t>
  </si>
  <si>
    <t>$蝦幣</t>
  </si>
  <si>
    <t>自動改成"蝦幣"</t>
  </si>
  <si>
    <t>蝦幣$</t>
  </si>
  <si>
    <t>\$\d+\s*蝦幣</t>
  </si>
  <si>
    <t>元</t>
  </si>
  <si>
    <t>直接無法輸入</t>
  </si>
  <si>
    <t>block</t>
  </si>
  <si>
    <t>蝦幣*元</t>
  </si>
  <si>
    <t>*元蝦幣</t>
  </si>
  <si>
    <t>*倍蝦幣</t>
  </si>
  <si>
    <t>賺</t>
  </si>
  <si>
    <t>賺取</t>
  </si>
  <si>
    <t>賣蝦幣</t>
  </si>
  <si>
    <t>up</t>
  </si>
  <si>
    <t>自動改成"起"</t>
  </si>
  <si>
    <t>商城狂購節</t>
  </si>
  <si>
    <t>蝦皮吃貨節</t>
  </si>
  <si>
    <t>蝦皮中元節</t>
  </si>
  <si>
    <t>蝦皮時尚週</t>
  </si>
  <si>
    <t>18號</t>
  </si>
  <si>
    <t>25號</t>
  </si>
  <si>
    <t>18節</t>
  </si>
  <si>
    <t>25節</t>
  </si>
  <si>
    <t>最強</t>
  </si>
  <si>
    <t>自動改成"超"</t>
  </si>
  <si>
    <t>最便宜</t>
  </si>
  <si>
    <t>最低價</t>
  </si>
  <si>
    <t>最優惠</t>
  </si>
  <si>
    <t>最大牌</t>
  </si>
  <si>
    <t>最佳</t>
  </si>
  <si>
    <t>最大品牌</t>
  </si>
  <si>
    <t>效果最好</t>
  </si>
  <si>
    <t>年度最強</t>
  </si>
  <si>
    <t>最划算</t>
  </si>
  <si>
    <t>競網最便宜</t>
  </si>
  <si>
    <t>獨家</t>
  </si>
  <si>
    <t>第一</t>
  </si>
  <si>
    <t>No1</t>
  </si>
  <si>
    <t>No.1</t>
  </si>
  <si>
    <t>No,1</t>
  </si>
  <si>
    <t>專屬</t>
  </si>
  <si>
    <t>自動改成"限定"</t>
  </si>
  <si>
    <t>VIP</t>
  </si>
  <si>
    <t>拚</t>
  </si>
  <si>
    <t>自動改成"拼"</t>
  </si>
  <si>
    <t>卷</t>
  </si>
  <si>
    <t>自動改成"券"</t>
  </si>
  <si>
    <t>周</t>
  </si>
  <si>
    <t>自動改成"週"</t>
  </si>
  <si>
    <t>千</t>
  </si>
  <si>
    <t>仟</t>
  </si>
  <si>
    <t>百</t>
  </si>
  <si>
    <t>~</t>
  </si>
  <si>
    <t>自動改成"-"</t>
  </si>
  <si>
    <t>!</t>
  </si>
  <si>
    <t>?</t>
  </si>
  <si>
    <t>=+</t>
  </si>
  <si>
    <t>.</t>
  </si>
  <si>
    <t>"</t>
  </si>
  <si>
    <t>一</t>
  </si>
  <si>
    <t>自動改成"1"</t>
  </si>
  <si>
    <t>二</t>
  </si>
  <si>
    <t>自動改成"2"</t>
  </si>
  <si>
    <t>三</t>
  </si>
  <si>
    <t>自動改成"3"</t>
  </si>
  <si>
    <t>四</t>
  </si>
  <si>
    <t>自動改成"4"</t>
  </si>
  <si>
    <t>五</t>
  </si>
  <si>
    <t>自動改成"5"</t>
  </si>
  <si>
    <t>六</t>
  </si>
  <si>
    <t>自動改成"6"</t>
  </si>
  <si>
    <t>七</t>
  </si>
  <si>
    <t>自動改成"7"</t>
  </si>
  <si>
    <t>八</t>
  </si>
  <si>
    <t>自動改成"8"</t>
  </si>
  <si>
    <t>九</t>
  </si>
  <si>
    <t>自動改成"9"</t>
  </si>
  <si>
    <t>十</t>
  </si>
  <si>
    <t>自動改成"10"</t>
  </si>
  <si>
    <t>劵</t>
  </si>
  <si>
    <t>兩</t>
  </si>
  <si>
    <t>GIGASTONE_LOGO.png</t>
    <phoneticPr fontId="20" type="noConversion"/>
  </si>
  <si>
    <t>2026-05-19 11 49 59-Photoroom.png</t>
    <phoneticPr fontId="20" type="noConversion"/>
  </si>
  <si>
    <t>超亮投影機</t>
  </si>
  <si>
    <t>只限今日</t>
    <phoneticPr fontId="20" type="noConversion"/>
  </si>
  <si>
    <t>Logitech G.png</t>
    <phoneticPr fontId="20" type="noConversion"/>
  </si>
  <si>
    <t>2026-05-19 11 50 16-Photoroom.png</t>
    <phoneticPr fontId="20" type="noConversion"/>
  </si>
  <si>
    <t>羅技耳機</t>
    <phoneticPr fontId="20" type="noConversion"/>
  </si>
  <si>
    <t>超值下殺價</t>
    <phoneticPr fontId="20" type="noConversion"/>
  </si>
  <si>
    <t>SAMPO 640X360-Photoroom.png</t>
    <phoneticPr fontId="20" type="noConversion"/>
  </si>
  <si>
    <t>2-(4)-Photoroom.png</t>
    <phoneticPr fontId="20" type="noConversion"/>
  </si>
  <si>
    <r>
      <t>60</t>
    </r>
    <r>
      <rPr>
        <sz val="10"/>
        <color rgb="FF0000FF"/>
        <rFont val="微軟正黑體"/>
        <family val="2"/>
        <charset val="136"/>
      </rPr>
      <t>吋大電視</t>
    </r>
    <phoneticPr fontId="20" type="noConversion"/>
  </si>
  <si>
    <t>只有10台</t>
    <phoneticPr fontId="20" type="noConversion"/>
  </si>
  <si>
    <r>
      <t xml:space="preserve">vivo </t>
    </r>
    <r>
      <rPr>
        <sz val="10"/>
        <color rgb="FF0000FF"/>
        <rFont val="微軟正黑體"/>
        <family val="2"/>
        <charset val="136"/>
      </rPr>
      <t>标志（</t>
    </r>
    <r>
      <rPr>
        <sz val="10"/>
        <color rgb="FF0000FF"/>
        <rFont val="Arial"/>
        <family val="2"/>
      </rPr>
      <t>RGB).jpg</t>
    </r>
    <phoneticPr fontId="20" type="noConversion"/>
  </si>
  <si>
    <t>2.png,3.png</t>
    <phoneticPr fontId="20" type="noConversion"/>
  </si>
  <si>
    <t>保濕組</t>
    <phoneticPr fontId="20" type="noConversion"/>
  </si>
  <si>
    <t>買一送一</t>
    <phoneticPr fontId="20" type="noConversion"/>
  </si>
  <si>
    <t>2026-05-19 11 49 59-Photoroom.png,2026-05-19 11 50 16-Photoroom.png,1.png</t>
    <phoneticPr fontId="20" type="noConversion"/>
  </si>
  <si>
    <t>超值組下殺</t>
    <phoneticPr fontId="20" type="noConversion"/>
  </si>
  <si>
    <t>買1送1</t>
    <phoneticPr fontId="20" type="noConversion"/>
  </si>
  <si>
    <t>只有今天限50組</t>
    <phoneticPr fontId="20" type="noConversion"/>
  </si>
  <si>
    <t>下殺五折起</t>
    <phoneticPr fontId="20" type="noConversion"/>
  </si>
  <si>
    <t>逛逛去</t>
    <phoneticPr fontId="20" type="noConversion"/>
  </si>
  <si>
    <t>Copy of SF_logo_596x596.png</t>
    <phoneticPr fontId="20" type="noConversion"/>
  </si>
  <si>
    <r>
      <t>Dyson_Logo480x360</t>
    </r>
    <r>
      <rPr>
        <sz val="10"/>
        <color rgb="FF0000FF"/>
        <rFont val="微軟正黑體"/>
        <family val="2"/>
        <charset val="136"/>
      </rPr>
      <t>去背版</t>
    </r>
    <r>
      <rPr>
        <sz val="10"/>
        <color rgb="FF0000FF"/>
        <rFont val="Arial"/>
      </rPr>
      <t>.png</t>
    </r>
    <phoneticPr fontId="20" type="noConversion"/>
  </si>
  <si>
    <t>買一送一超值組</t>
  </si>
  <si>
    <t>KI60415GG-1.JPG</t>
  </si>
  <si>
    <t>KI60415GG-1.JPG</t>
    <phoneticPr fontId="20" type="noConversion"/>
  </si>
  <si>
    <t>超值組</t>
    <phoneticPr fontId="20" type="noConversion"/>
  </si>
  <si>
    <t>記憶體</t>
    <phoneticPr fontId="20" type="noConversion"/>
  </si>
  <si>
    <t>營幕尺寸</t>
    <phoneticPr fontId="20" type="noConversion"/>
  </si>
  <si>
    <t>顏色</t>
    <phoneticPr fontId="20" type="noConversion"/>
  </si>
  <si>
    <t>256GB</t>
    <phoneticPr fontId="20" type="noConversion"/>
  </si>
  <si>
    <t>128GB</t>
    <phoneticPr fontId="20" type="noConversion"/>
  </si>
  <si>
    <r>
      <t>60</t>
    </r>
    <r>
      <rPr>
        <sz val="10"/>
        <color rgb="FF0000FF"/>
        <rFont val="微軟正黑體"/>
        <family val="2"/>
        <charset val="136"/>
      </rPr>
      <t>吋</t>
    </r>
    <phoneticPr fontId="20" type="noConversion"/>
  </si>
  <si>
    <r>
      <t>80</t>
    </r>
    <r>
      <rPr>
        <sz val="10"/>
        <color rgb="FF0000FF"/>
        <rFont val="微軟正黑體"/>
        <family val="2"/>
        <charset val="136"/>
      </rPr>
      <t>吋</t>
    </r>
    <phoneticPr fontId="20" type="noConversion"/>
  </si>
  <si>
    <t>紅</t>
    <phoneticPr fontId="20" type="noConversion"/>
  </si>
  <si>
    <t>白</t>
    <phoneticPr fontId="20" type="noConversion"/>
  </si>
  <si>
    <r>
      <t xml:space="preserve">vivo </t>
    </r>
    <r>
      <rPr>
        <i/>
        <sz val="9"/>
        <color rgb="FF666666"/>
        <rFont val="微軟正黑體"/>
        <family val="2"/>
        <charset val="136"/>
      </rPr>
      <t>标志（</t>
    </r>
    <r>
      <rPr>
        <i/>
        <sz val="9"/>
        <color rgb="FF666666"/>
        <rFont val="Arial"/>
      </rPr>
      <t>RGB).jpg</t>
    </r>
    <phoneticPr fontId="20" type="noConversion"/>
  </si>
  <si>
    <t>WB_MATIN KIM.png</t>
    <phoneticPr fontId="20" type="noConversion"/>
  </si>
  <si>
    <r>
      <t>Dyson_Logo480x360</t>
    </r>
    <r>
      <rPr>
        <i/>
        <sz val="9"/>
        <color rgb="FF666666"/>
        <rFont val="微軟正黑體"/>
        <family val="2"/>
        <charset val="136"/>
      </rPr>
      <t>去背版</t>
    </r>
    <r>
      <rPr>
        <i/>
        <sz val="9"/>
        <color rgb="FF666666"/>
        <rFont val="Arial"/>
      </rPr>
      <t>.png</t>
    </r>
    <phoneticPr fontId="20" type="noConversion"/>
  </si>
  <si>
    <t>Dyson</t>
    <phoneticPr fontId="20" type="noConversion"/>
  </si>
  <si>
    <t>MATIN KIM</t>
    <phoneticPr fontId="20" type="noConversion"/>
  </si>
  <si>
    <t>vivo</t>
    <phoneticPr fontId="20" type="noConversion"/>
  </si>
  <si>
    <t>SAMPO</t>
    <phoneticPr fontId="20" type="noConversion"/>
  </si>
  <si>
    <t>最強買1送1組</t>
    <phoneticPr fontId="20" type="noConversion"/>
  </si>
  <si>
    <r>
      <rPr>
        <sz val="10"/>
        <color rgb="FF0000FF"/>
        <rFont val="微軟正黑體"/>
        <family val="2"/>
        <charset val="136"/>
      </rPr>
      <t>最後超值</t>
    </r>
    <r>
      <rPr>
        <sz val="10"/>
        <color rgb="FF0000FF"/>
        <rFont val="Arial"/>
      </rPr>
      <t>6</t>
    </r>
    <r>
      <rPr>
        <sz val="10"/>
        <color rgb="FF0000FF"/>
        <rFont val="微軟正黑體"/>
        <family val="2"/>
        <charset val="136"/>
      </rPr>
      <t>折</t>
    </r>
  </si>
  <si>
    <r>
      <t xml:space="preserve">1/1~1/10 </t>
    </r>
    <r>
      <rPr>
        <sz val="10"/>
        <color rgb="FF0000FF"/>
        <rFont val="微軟正黑體"/>
        <family val="2"/>
        <charset val="136"/>
      </rPr>
      <t>期間限定</t>
    </r>
    <phoneticPr fontId="20" type="noConversion"/>
  </si>
  <si>
    <t>滿299享折扣</t>
  </si>
  <si>
    <t>滿額送</t>
  </si>
  <si>
    <t>1.png,2.png,3.png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</si>
</sst>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m/dd\ hh:mm"/>
    <numFmt numFmtId="177" formatCode="\$#,##0"/>
    <numFmt numFmtId="178" formatCode="0.0;\-0.0;0"/>
  </numFmts>
  <fonts count="26" x14ac:knownFonts="1">
    <font>
      <sz val="11"/>
      <color theme="1"/>
      <name val="新細明體"/>
      <family val="2"/>
      <scheme val="minor"/>
    </font>
    <font>
      <b/>
      <sz val="15"/>
      <color rgb="FFFFFFFF"/>
      <name val="Arial"/>
    </font>
    <font>
      <b/>
      <sz val="10"/>
      <color rgb="FFFFFFFF"/>
      <name val="Arial"/>
    </font>
    <font>
      <sz val="10"/>
      <color rgb="FF0000FF"/>
      <name val="Arial"/>
    </font>
    <font>
      <b/>
      <sz val="10"/>
      <color rgb="FF008000"/>
      <name val="Arial"/>
    </font>
    <font>
      <sz val="9"/>
      <color rgb="FF666666"/>
      <name val="Arial"/>
    </font>
    <font>
      <b/>
      <sz val="11"/>
      <color rgb="FFFFFFFF"/>
      <name val="Arial"/>
    </font>
    <font>
      <b/>
      <sz val="10"/>
      <color rgb="FF171717"/>
      <name val="Arial"/>
    </font>
    <font>
      <sz val="9"/>
      <color rgb="FF171717"/>
      <name val="Arial"/>
    </font>
    <font>
      <sz val="9"/>
      <color rgb="FF008000"/>
      <name val="Arial"/>
    </font>
    <font>
      <b/>
      <sz val="9"/>
      <color rgb="FF0000FF"/>
      <name val="Arial"/>
    </font>
    <font>
      <sz val="8.5"/>
      <color rgb="FF171717"/>
      <name val="Arial"/>
    </font>
    <font>
      <sz val="9"/>
      <color rgb="FFFFFFFF"/>
      <name val="Arial"/>
    </font>
    <font>
      <b/>
      <sz val="9"/>
      <color rgb="FFFFFFFF"/>
      <name val="Arial"/>
    </font>
    <font>
      <b/>
      <sz val="9.5"/>
      <color rgb="FF171717"/>
      <name val="Arial"/>
    </font>
    <font>
      <sz val="11"/>
      <color rgb="FF666666"/>
      <name val="Arial"/>
    </font>
    <font>
      <sz val="9"/>
      <color rgb="FF0000FF"/>
      <name val="Arial"/>
    </font>
    <font>
      <i/>
      <sz val="9"/>
      <color rgb="FF0000FF"/>
      <name val="Arial"/>
    </font>
    <font>
      <i/>
      <sz val="9"/>
      <color rgb="FF666666"/>
      <name val="Arial"/>
    </font>
    <font>
      <sz val="10"/>
      <color rgb="FF0000FF"/>
      <name val="Arial"/>
      <family val="2"/>
    </font>
    <font>
      <sz val="9"/>
      <name val="新細明體"/>
      <family val="3"/>
      <charset val="136"/>
      <scheme val="minor"/>
    </font>
    <font>
      <sz val="10"/>
      <color rgb="FF0000FF"/>
      <name val="微軟正黑體"/>
      <family val="2"/>
      <charset val="136"/>
    </font>
    <font>
      <sz val="10"/>
      <color rgb="FF0000FF"/>
      <name val="Arial"/>
      <family val="2"/>
      <charset val="136"/>
    </font>
    <font>
      <i/>
      <sz val="9"/>
      <color rgb="FF0000FF"/>
      <name val="Arial"/>
      <family val="2"/>
    </font>
    <font>
      <i/>
      <sz val="9"/>
      <color rgb="FF666666"/>
      <name val="微軟正黑體"/>
      <family val="2"/>
      <charset val="136"/>
    </font>
    <font>
      <i/>
      <sz val="9"/>
      <color rgb="FF666666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34F5C"/>
      </patternFill>
    </fill>
    <fill>
      <patternFill patternType="solid">
        <fgColor rgb="FF45818E"/>
      </patternFill>
    </fill>
    <fill>
      <patternFill patternType="solid">
        <fgColor rgb="FFD9EAD3"/>
      </patternFill>
    </fill>
    <fill>
      <patternFill patternType="solid">
        <fgColor rgb="FFF3F3F3"/>
      </patternFill>
    </fill>
    <fill>
      <patternFill patternType="solid">
        <fgColor rgb="FFFF69B4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E599"/>
      </patternFill>
    </fill>
    <fill>
      <patternFill patternType="solid">
        <fgColor rgb="FF171717"/>
      </patternFill>
    </fill>
    <fill>
      <patternFill patternType="solid">
        <fgColor rgb="FF3C4043"/>
      </patternFill>
    </fill>
    <fill>
      <patternFill patternType="solid">
        <fgColor rgb="FFE7E6E6"/>
      </patternFill>
    </fill>
  </fills>
  <borders count="8">
    <border>
      <left/>
      <right/>
      <top/>
      <bottom/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dotted">
        <color rgb="FF999999"/>
      </left>
      <right style="thin">
        <color rgb="FF999999"/>
      </right>
      <top style="dotted">
        <color rgb="FF999999"/>
      </top>
      <bottom style="dotted">
        <color rgb="FF999999"/>
      </bottom>
      <diagonal/>
    </border>
    <border>
      <left style="thin">
        <color rgb="FF999999"/>
      </left>
      <right style="dotted">
        <color rgb="FF999999"/>
      </right>
      <top style="thin">
        <color rgb="FF999999"/>
      </top>
      <bottom style="thin">
        <color rgb="FF999999"/>
      </bottom>
      <diagonal/>
    </border>
    <border>
      <left style="dotted">
        <color rgb="FF999999"/>
      </left>
      <right style="dotted">
        <color rgb="FF999999"/>
      </right>
      <top style="thin">
        <color rgb="FF999999"/>
      </top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 style="dotted">
        <color rgb="FF999999"/>
      </top>
      <bottom style="thin">
        <color rgb="FF999999"/>
      </bottom>
      <diagonal/>
    </border>
    <border>
      <left style="dotted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 applyProtection="1">
      <alignment horizontal="left" vertical="center" wrapText="1"/>
      <protection locked="0"/>
    </xf>
    <xf numFmtId="0" fontId="4" fillId="4" borderId="1" xfId="0" applyFont="1" applyFill="1" applyBorder="1" applyAlignment="1">
      <alignment horizontal="center" vertical="center" wrapText="1"/>
    </xf>
    <xf numFmtId="176" fontId="5" fillId="5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 applyProtection="1">
      <alignment horizontal="center" vertical="center" wrapText="1"/>
      <protection locked="0"/>
    </xf>
    <xf numFmtId="0" fontId="8" fillId="8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0" fillId="10" borderId="1" xfId="0" applyFill="1" applyBorder="1"/>
    <xf numFmtId="0" fontId="0" fillId="11" borderId="1" xfId="0" applyFill="1" applyBorder="1"/>
    <xf numFmtId="0" fontId="13" fillId="10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0" fillId="8" borderId="0" xfId="0" applyFill="1"/>
    <xf numFmtId="0" fontId="0" fillId="5" borderId="1" xfId="0" applyFill="1" applyBorder="1"/>
    <xf numFmtId="0" fontId="0" fillId="10" borderId="0" xfId="0" applyFill="1"/>
    <xf numFmtId="0" fontId="14" fillId="5" borderId="1" xfId="0" applyFont="1" applyFill="1" applyBorder="1" applyAlignment="1">
      <alignment horizontal="center" vertical="center" wrapText="1"/>
    </xf>
    <xf numFmtId="0" fontId="8" fillId="8" borderId="5" xfId="0" applyFont="1" applyFill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178" fontId="5" fillId="8" borderId="7" xfId="0" applyNumberFormat="1" applyFont="1" applyFill="1" applyBorder="1" applyAlignment="1">
      <alignment horizontal="center" vertical="center" wrapText="1"/>
    </xf>
    <xf numFmtId="0" fontId="25" fillId="12" borderId="2" xfId="0" applyFont="1" applyFill="1" applyBorder="1" applyAlignment="1" applyProtection="1">
      <alignment horizontal="left" vertical="center" wrapText="1"/>
      <protection locked="0"/>
    </xf>
    <xf numFmtId="0" fontId="18" fillId="12" borderId="2" xfId="0" applyFont="1" applyFill="1" applyBorder="1" applyAlignment="1" applyProtection="1">
      <alignment horizontal="left" vertical="center" wrapText="1"/>
      <protection locked="0"/>
    </xf>
    <xf numFmtId="0" fontId="11" fillId="8" borderId="4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 applyProtection="1">
      <alignment horizontal="center" vertical="center" wrapText="1"/>
      <protection locked="0"/>
    </xf>
    <xf numFmtId="0" fontId="23" fillId="4" borderId="2" xfId="0" applyFont="1" applyFill="1" applyBorder="1" applyAlignment="1" applyProtection="1">
      <alignment horizontal="center" vertical="center" wrapText="1"/>
      <protection locked="0"/>
    </xf>
    <xf numFmtId="0" fontId="17" fillId="4" borderId="2" xfId="0" applyFont="1" applyFill="1" applyBorder="1" applyAlignment="1" applyProtection="1">
      <alignment horizontal="center" vertical="center" wrapText="1"/>
      <protection locked="0"/>
    </xf>
    <xf numFmtId="0" fontId="25" fillId="12" borderId="2" xfId="0" applyFont="1" applyFill="1" applyBorder="1" applyAlignment="1" applyProtection="1">
      <alignment horizontal="center" vertical="center" wrapText="1"/>
      <protection locked="0"/>
    </xf>
    <xf numFmtId="0" fontId="18" fillId="12" borderId="2" xfId="0" applyFont="1" applyFill="1" applyBorder="1" applyAlignment="1" applyProtection="1">
      <alignment horizontal="center" vertical="center" wrapText="1"/>
      <protection locked="0"/>
    </xf>
    <xf numFmtId="0" fontId="15" fillId="8" borderId="3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17" fillId="4" borderId="2" xfId="0" applyFont="1" applyFill="1" applyBorder="1" applyAlignment="1" applyProtection="1">
      <alignment horizontal="left" vertical="center" wrapText="1"/>
      <protection locked="0"/>
    </xf>
    <xf numFmtId="0" fontId="23" fillId="4" borderId="2" xfId="0" applyFont="1" applyFill="1" applyBorder="1" applyAlignment="1" applyProtection="1">
      <alignment horizontal="left" vertical="center" wrapText="1"/>
      <protection locked="0"/>
    </xf>
    <xf numFmtId="0" fontId="2" fillId="10" borderId="2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 applyProtection="1">
      <alignment horizontal="left" vertical="center" wrapText="1"/>
      <protection locked="0"/>
    </xf>
    <xf numFmtId="0" fontId="2" fillId="10" borderId="1" xfId="0" applyFont="1" applyFill="1" applyBorder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177" fontId="21" fillId="4" borderId="1" xfId="0" applyNumberFormat="1" applyFont="1" applyFill="1" applyBorder="1" applyAlignment="1" applyProtection="1">
      <alignment horizontal="left" vertical="center" wrapText="1"/>
      <protection locked="0"/>
    </xf>
    <xf numFmtId="177" fontId="3" fillId="4" borderId="1" xfId="0" applyNumberFormat="1" applyFont="1" applyFill="1" applyBorder="1" applyAlignment="1" applyProtection="1">
      <alignment horizontal="left" vertical="center" wrapText="1"/>
      <protection locked="0"/>
    </xf>
    <xf numFmtId="177" fontId="19" fillId="4" borderId="1" xfId="0" applyNumberFormat="1" applyFont="1" applyFill="1" applyBorder="1" applyAlignment="1" applyProtection="1">
      <alignment horizontal="left" vertical="center" wrapText="1"/>
      <protection locked="0"/>
    </xf>
    <xf numFmtId="0" fontId="13" fillId="3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 applyProtection="1">
      <alignment horizontal="left" vertical="center" wrapText="1"/>
      <protection locked="0"/>
    </xf>
    <xf numFmtId="0" fontId="3" fillId="4" borderId="1" xfId="0" applyFont="1" applyFill="1" applyBorder="1" applyAlignment="1" applyProtection="1">
      <alignment horizontal="left" vertical="center" wrapText="1"/>
      <protection locked="0"/>
    </xf>
    <xf numFmtId="177" fontId="21" fillId="4" borderId="1" xfId="0" applyNumberFormat="1" applyFont="1" applyFill="1" applyBorder="1" applyAlignment="1" applyProtection="1">
      <alignment horizontal="left" vertical="center" shrinkToFit="1"/>
      <protection locked="0"/>
    </xf>
    <xf numFmtId="177" fontId="3" fillId="4" borderId="1" xfId="0" applyNumberFormat="1" applyFont="1" applyFill="1" applyBorder="1" applyAlignment="1" applyProtection="1">
      <alignment horizontal="left" vertical="center" shrinkToFit="1"/>
      <protection locked="0"/>
    </xf>
    <xf numFmtId="0" fontId="22" fillId="4" borderId="1" xfId="0" applyFont="1" applyFill="1" applyBorder="1" applyAlignment="1" applyProtection="1">
      <alignment horizontal="left" vertical="center" wrapText="1"/>
      <protection locked="0"/>
    </xf>
    <xf numFmtId="0" fontId="13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21" fillId="4" borderId="1" xfId="0" applyFont="1" applyFill="1" applyBorder="1" applyAlignment="1" applyProtection="1">
      <alignment horizontal="left" vertical="center" wrapText="1"/>
      <protection locked="0"/>
    </xf>
    <xf numFmtId="0" fontId="7" fillId="6" borderId="1" xfId="0" applyFont="1" applyFill="1" applyBorder="1" applyAlignment="1" applyProtection="1">
      <alignment horizontal="left" vertical="center" wrapText="1"/>
      <protection locked="0"/>
    </xf>
    <xf numFmtId="0" fontId="1" fillId="2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</cellXfs>
  <cellStyles count="1">
    <cellStyle name="一般" xfId="0" builtinId="0"/>
  </cellStyles>
  <dxfs count="144">
    <dxf>
      <font>
        <b/>
        <color rgb="FF008000"/>
      </font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008000"/>
      </font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008000"/>
      </font>
      <fill>
        <patternFill patternType="solid">
          <fgColor rgb="FFD9EAD3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008000"/>
      </font>
      <fill>
        <patternFill patternType="solid">
          <fgColor rgb="FFD9EAD3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008000"/>
      </font>
      <fill>
        <patternFill patternType="solid">
          <fgColor rgb="FFD9EAD3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008000"/>
      </font>
      <fill>
        <patternFill patternType="solid">
          <fgColor rgb="FFD9EAD3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008000"/>
      </font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008000"/>
      </font>
      <fill>
        <patternFill patternType="solid">
          <fgColor rgb="FFD9EAD3"/>
        </patternFill>
      </fill>
    </dxf>
    <dxf>
      <font>
        <b/>
        <color rgb="FF008000"/>
      </font>
      <fill>
        <patternFill patternType="solid">
          <fgColor rgb="FFD9EAD3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008000"/>
      </font>
      <fill>
        <patternFill patternType="solid">
          <fgColor rgb="FFD9EAD3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008000"/>
      </font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008000"/>
      </font>
      <fill>
        <patternFill patternType="solid">
          <fgColor rgb="FFD9EAD3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008000"/>
      </font>
      <fill>
        <patternFill patternType="solid">
          <fgColor rgb="FFD9EAD3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008000"/>
      </font>
      <fill>
        <patternFill patternType="solid">
          <fgColor rgb="FFD9EAD3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008000"/>
      </font>
      <fill>
        <patternFill patternType="solid">
          <fgColor rgb="FFD9EAD3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008000"/>
      </font>
      <fill>
        <patternFill patternType="solid">
          <fgColor rgb="FFD9EAD3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008000"/>
      </font>
      <fill>
        <patternFill patternType="solid">
          <fgColor rgb="FFD9EAD3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008000"/>
      </font>
      <fill>
        <patternFill patternType="solid">
          <fgColor rgb="FFD9EAD3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008000"/>
      </font>
    </dxf>
    <dxf>
      <font>
        <b/>
        <color rgb="FF008000"/>
      </font>
      <fill>
        <patternFill patternType="solid">
          <fgColor rgb="FFD9EAD3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008000"/>
      </font>
      <fill>
        <patternFill patternType="solid">
          <fgColor rgb="FFD9EAD3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008000"/>
      </font>
      <fill>
        <patternFill patternType="solid">
          <fgColor rgb="FFD9EAD3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008000"/>
      </font>
      <fill>
        <patternFill patternType="solid">
          <fgColor rgb="FFD9EAD3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008000"/>
      </font>
      <fill>
        <patternFill patternType="solid">
          <fgColor rgb="FFD9EAD3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008000"/>
      </font>
      <fill>
        <patternFill patternType="solid">
          <fgColor rgb="FFD9EAD3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008000"/>
      </font>
      <fill>
        <patternFill patternType="solid">
          <fgColor rgb="FFD9EAD3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ill>
        <patternFill patternType="solid">
          <fgColor rgb="FFFFE599"/>
        </patternFill>
      </fill>
    </dxf>
    <dxf>
      <fill>
        <patternFill patternType="solid">
          <f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7934</xdr:colOff>
      <xdr:row>2</xdr:row>
      <xdr:rowOff>218500</xdr:rowOff>
    </xdr:from>
    <xdr:ext cx="1076325" cy="12573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22</xdr:col>
      <xdr:colOff>34384</xdr:colOff>
      <xdr:row>2</xdr:row>
      <xdr:rowOff>218500</xdr:rowOff>
    </xdr:from>
    <xdr:ext cx="1076325" cy="12573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26</xdr:col>
      <xdr:colOff>6644</xdr:colOff>
      <xdr:row>2</xdr:row>
      <xdr:rowOff>218500</xdr:rowOff>
    </xdr:from>
    <xdr:ext cx="1076325" cy="12573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29</xdr:col>
      <xdr:colOff>34384</xdr:colOff>
      <xdr:row>2</xdr:row>
      <xdr:rowOff>218500</xdr:rowOff>
    </xdr:from>
    <xdr:ext cx="1076325" cy="125730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19</xdr:col>
      <xdr:colOff>7934</xdr:colOff>
      <xdr:row>10</xdr:row>
      <xdr:rowOff>218499</xdr:rowOff>
    </xdr:from>
    <xdr:ext cx="4762500" cy="1704975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19</xdr:col>
      <xdr:colOff>7934</xdr:colOff>
      <xdr:row>19</xdr:row>
      <xdr:rowOff>218499</xdr:rowOff>
    </xdr:from>
    <xdr:ext cx="1076325" cy="125730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22</xdr:col>
      <xdr:colOff>34384</xdr:colOff>
      <xdr:row>19</xdr:row>
      <xdr:rowOff>218499</xdr:rowOff>
    </xdr:from>
    <xdr:ext cx="1076325" cy="125730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26</xdr:col>
      <xdr:colOff>6644</xdr:colOff>
      <xdr:row>19</xdr:row>
      <xdr:rowOff>218499</xdr:rowOff>
    </xdr:from>
    <xdr:ext cx="1076325" cy="125730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29</xdr:col>
      <xdr:colOff>34384</xdr:colOff>
      <xdr:row>19</xdr:row>
      <xdr:rowOff>218499</xdr:rowOff>
    </xdr:from>
    <xdr:ext cx="1076325" cy="125730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19</xdr:col>
      <xdr:colOff>7934</xdr:colOff>
      <xdr:row>27</xdr:row>
      <xdr:rowOff>218499</xdr:rowOff>
    </xdr:from>
    <xdr:ext cx="4286250" cy="142875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19</xdr:col>
      <xdr:colOff>7934</xdr:colOff>
      <xdr:row>32</xdr:row>
      <xdr:rowOff>218500</xdr:rowOff>
    </xdr:from>
    <xdr:ext cx="4286250" cy="142875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19</xdr:col>
      <xdr:colOff>7934</xdr:colOff>
      <xdr:row>37</xdr:row>
      <xdr:rowOff>218500</xdr:rowOff>
    </xdr:from>
    <xdr:ext cx="4762500" cy="1590675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19</xdr:col>
      <xdr:colOff>7934</xdr:colOff>
      <xdr:row>44</xdr:row>
      <xdr:rowOff>218500</xdr:rowOff>
    </xdr:from>
    <xdr:ext cx="4762500" cy="1590675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5818E"/>
    <pageSetUpPr fitToPage="1"/>
  </sheetPr>
  <dimension ref="A1:I42"/>
  <sheetViews>
    <sheetView showGridLines="0" tabSelected="1" workbookViewId="0">
      <pane ySplit="3" topLeftCell="A6" activePane="bottomLeft" state="frozen"/>
      <selection pane="bottomLeft" activeCell="B17" sqref="B17"/>
    </sheetView>
  </sheetViews>
  <sheetFormatPr defaultRowHeight="15.75" x14ac:dyDescent="0.25"/>
  <cols>
    <col min="1" max="1" width="18" customWidth="1"/>
    <col min="2" max="2" width="14" customWidth="1"/>
    <col min="4" max="4" width="16" customWidth="1"/>
    <col min="5" max="5" width="12" customWidth="1"/>
    <col min="6" max="6" width="30" customWidth="1"/>
    <col min="7" max="7" width="38" customWidth="1"/>
    <col min="8" max="8" width="36" customWidth="1"/>
    <col min="9" max="9" width="12" customWidth="1"/>
  </cols>
  <sheetData>
    <row r="1" spans="1:9" ht="27.95" customHeight="1" x14ac:dyDescent="0.25">
      <c r="A1" s="55" t="s">
        <v>0</v>
      </c>
      <c r="B1" s="55"/>
      <c r="C1" s="55"/>
      <c r="D1" s="55"/>
      <c r="E1" s="55"/>
      <c r="F1" s="55"/>
      <c r="G1" s="55"/>
      <c r="H1" s="55"/>
      <c r="I1" s="55"/>
    </row>
    <row r="3" spans="1:9" x14ac:dyDescent="0.25">
      <c r="A3" s="1" t="s">
        <v>1</v>
      </c>
      <c r="B3" s="44" t="s">
        <v>2</v>
      </c>
      <c r="C3" s="44"/>
      <c r="D3" s="44"/>
      <c r="E3" s="1" t="s">
        <v>3</v>
      </c>
      <c r="F3" s="56">
        <f>IFERROR(VLOOKUP(B3,設定!$A$2:$B$12,2,FALSE),0)</f>
        <v>6</v>
      </c>
      <c r="G3" s="56"/>
      <c r="H3" s="1" t="s">
        <v>4</v>
      </c>
      <c r="I3" s="4">
        <v>46268.409659375</v>
      </c>
    </row>
    <row r="4" spans="1:9" x14ac:dyDescent="0.25">
      <c r="A4" s="1" t="s">
        <v>5</v>
      </c>
      <c r="B4" s="44" t="s">
        <v>6</v>
      </c>
      <c r="C4" s="44"/>
      <c r="D4" s="44"/>
      <c r="E4" s="1" t="s">
        <v>7</v>
      </c>
      <c r="F4" s="44" t="s">
        <v>8</v>
      </c>
      <c r="G4" s="44"/>
      <c r="H4" s="1" t="s">
        <v>9</v>
      </c>
      <c r="I4" s="2" t="s">
        <v>6</v>
      </c>
    </row>
    <row r="5" spans="1:9" ht="25.5" x14ac:dyDescent="0.25">
      <c r="A5" s="1" t="s">
        <v>10</v>
      </c>
      <c r="B5" s="44" t="s">
        <v>6</v>
      </c>
      <c r="C5" s="44"/>
      <c r="D5" s="44"/>
      <c r="E5" s="1" t="s">
        <v>11</v>
      </c>
      <c r="F5" s="44" t="s">
        <v>6</v>
      </c>
      <c r="G5" s="44"/>
      <c r="H5" s="1" t="s">
        <v>12</v>
      </c>
      <c r="I5" s="3">
        <f>SUM(C20:C31)+13</f>
        <v>22</v>
      </c>
    </row>
    <row r="6" spans="1:9" x14ac:dyDescent="0.25">
      <c r="A6" s="1" t="s">
        <v>13</v>
      </c>
      <c r="B6" s="44" t="s">
        <v>6</v>
      </c>
      <c r="C6" s="44"/>
      <c r="D6" s="44"/>
      <c r="E6" s="1" t="s">
        <v>14</v>
      </c>
      <c r="F6" s="44" t="s">
        <v>6</v>
      </c>
      <c r="G6" s="44"/>
      <c r="H6" s="44"/>
      <c r="I6" s="44"/>
    </row>
    <row r="7" spans="1:9" x14ac:dyDescent="0.25">
      <c r="A7" s="1" t="s">
        <v>15</v>
      </c>
      <c r="B7" s="44" t="s">
        <v>6</v>
      </c>
      <c r="C7" s="44"/>
      <c r="D7" s="44"/>
      <c r="E7" s="44"/>
      <c r="F7" s="44"/>
      <c r="G7" s="44"/>
      <c r="H7" s="44"/>
      <c r="I7" s="44"/>
    </row>
    <row r="9" spans="1:9" x14ac:dyDescent="0.25">
      <c r="A9" s="51" t="s">
        <v>16</v>
      </c>
      <c r="B9" s="51"/>
      <c r="C9" s="51"/>
      <c r="D9" s="51"/>
      <c r="E9" s="51"/>
      <c r="F9" s="51"/>
      <c r="G9" s="51"/>
      <c r="H9" s="51"/>
      <c r="I9" s="51"/>
    </row>
    <row r="10" spans="1:9" x14ac:dyDescent="0.25">
      <c r="A10" s="1" t="s">
        <v>17</v>
      </c>
      <c r="B10" s="54" t="s">
        <v>18</v>
      </c>
      <c r="C10" s="54"/>
      <c r="D10" s="54"/>
      <c r="E10" s="1" t="s">
        <v>19</v>
      </c>
      <c r="F10" s="52" t="s">
        <v>20</v>
      </c>
      <c r="G10" s="52"/>
      <c r="H10" s="52"/>
      <c r="I10" s="52"/>
    </row>
    <row r="11" spans="1:9" x14ac:dyDescent="0.25">
      <c r="A11" s="1" t="s">
        <v>21</v>
      </c>
      <c r="B11" s="44"/>
      <c r="C11" s="44"/>
      <c r="D11" s="44"/>
      <c r="E11" s="5" t="s">
        <v>22</v>
      </c>
      <c r="F11" s="52" t="s">
        <v>23</v>
      </c>
      <c r="G11" s="52"/>
      <c r="H11" s="52"/>
      <c r="I11" s="6" t="str">
        <f>IF(B11="","限9字",IF(LENB(B11)/2&lt;=9,"OK","超過"))</f>
        <v>限9字</v>
      </c>
    </row>
    <row r="12" spans="1:9" x14ac:dyDescent="0.25">
      <c r="A12" s="1" t="s">
        <v>24</v>
      </c>
      <c r="B12" s="53" t="s">
        <v>558</v>
      </c>
      <c r="C12" s="44"/>
      <c r="D12" s="44"/>
      <c r="E12" s="5" t="s">
        <v>25</v>
      </c>
      <c r="F12" s="52" t="s">
        <v>26</v>
      </c>
      <c r="G12" s="52"/>
      <c r="H12" s="52"/>
      <c r="I12" s="6" t="str">
        <f>IF(B12="","限8字",IF(LENB(B12)/2&lt;=8,"OK","超過"))</f>
        <v>OK</v>
      </c>
    </row>
    <row r="13" spans="1:9" x14ac:dyDescent="0.25">
      <c r="A13" s="1" t="s">
        <v>27</v>
      </c>
      <c r="B13" s="47" t="s">
        <v>559</v>
      </c>
      <c r="C13" s="44"/>
      <c r="D13" s="44"/>
      <c r="E13" s="5" t="s">
        <v>28</v>
      </c>
      <c r="F13" s="52" t="s">
        <v>29</v>
      </c>
      <c r="G13" s="52"/>
      <c r="H13" s="52"/>
      <c r="I13" s="6" t="str">
        <f>IF(B13="","限7字",IF(LENB(B13)/2&lt;=7,"OK","超過"))</f>
        <v>OK</v>
      </c>
    </row>
    <row r="14" spans="1:9" x14ac:dyDescent="0.25">
      <c r="A14" s="1" t="s">
        <v>30</v>
      </c>
      <c r="B14" s="43" t="s">
        <v>560</v>
      </c>
      <c r="C14" s="44"/>
      <c r="D14" s="44"/>
      <c r="E14" s="5" t="s">
        <v>31</v>
      </c>
      <c r="F14" s="52" t="s">
        <v>32</v>
      </c>
      <c r="G14" s="52"/>
      <c r="H14" s="52"/>
      <c r="I14" s="6" t="str">
        <f>IF(B14="","限14字",IF(LENB(B14)/2&lt;=14,"OK","超過"))</f>
        <v>OK</v>
      </c>
    </row>
    <row r="15" spans="1:9" x14ac:dyDescent="0.25">
      <c r="A15" s="1" t="s">
        <v>33</v>
      </c>
      <c r="B15" s="44" t="s">
        <v>6</v>
      </c>
      <c r="C15" s="44"/>
      <c r="D15" s="44"/>
      <c r="E15" s="5" t="s">
        <v>34</v>
      </c>
      <c r="F15" s="52" t="s">
        <v>35</v>
      </c>
      <c r="G15" s="52"/>
      <c r="H15" s="52"/>
      <c r="I15" s="6" t="str">
        <f>IF(B15="","限2字",IF(LENB(B15)/2&lt;=2,"OK","超過"))</f>
        <v>限2字</v>
      </c>
    </row>
    <row r="16" spans="1:9" x14ac:dyDescent="0.25">
      <c r="A16" s="1" t="s">
        <v>36</v>
      </c>
      <c r="B16" s="43" t="s">
        <v>563</v>
      </c>
      <c r="C16" s="44"/>
      <c r="D16" s="44"/>
      <c r="E16" s="5" t="s">
        <v>37</v>
      </c>
      <c r="F16" s="52" t="s">
        <v>38</v>
      </c>
      <c r="G16" s="52"/>
      <c r="H16" s="52"/>
      <c r="I16" s="6" t="str">
        <f>IF(B16="","限3張",IF(LEN(B16)-LEN(SUBSTITUTE(B16,",",""))+1&lt;=3,"OK","超過"))</f>
        <v>OK</v>
      </c>
    </row>
    <row r="18" spans="1:9" x14ac:dyDescent="0.25">
      <c r="A18" s="51" t="s">
        <v>39</v>
      </c>
      <c r="B18" s="51"/>
      <c r="C18" s="51"/>
      <c r="D18" s="51"/>
      <c r="E18" s="51"/>
      <c r="F18" s="51"/>
      <c r="G18" s="51"/>
      <c r="H18" s="51"/>
      <c r="I18" s="51"/>
    </row>
    <row r="19" spans="1:9" ht="23.1" customHeight="1" x14ac:dyDescent="0.25">
      <c r="A19" s="1" t="s">
        <v>40</v>
      </c>
      <c r="B19" s="1" t="s">
        <v>41</v>
      </c>
      <c r="C19" s="1" t="s">
        <v>42</v>
      </c>
      <c r="D19" s="1" t="s">
        <v>43</v>
      </c>
      <c r="E19" s="1" t="s">
        <v>44</v>
      </c>
      <c r="F19" s="1" t="s">
        <v>45</v>
      </c>
      <c r="G19" s="1" t="s">
        <v>46</v>
      </c>
      <c r="H19" s="1" t="s">
        <v>47</v>
      </c>
      <c r="I19" s="1" t="s">
        <v>48</v>
      </c>
    </row>
    <row r="20" spans="1:9" ht="38.1" customHeight="1" x14ac:dyDescent="0.25">
      <c r="A20" s="7" t="str">
        <f>IFERROR(INDEX(設定!$C$2:$N$12,MATCH($B$3,設定!$A$2:$A$12,0),1),"")</f>
        <v>LPBN</v>
      </c>
      <c r="B20" s="7" t="str">
        <f>IFERROR(INDEX(設定!$O$2:$Z$12,MATCH($B$3,設定!$A$2:$A$12,0),1),"")</f>
        <v>預設</v>
      </c>
      <c r="C20" s="8">
        <f>IF(A20="","",IF(B20="預設",IFERROR(VLOOKUP(A20,設定!$AB$2:$AJ$14,3,FALSE),1),0))</f>
        <v>2</v>
      </c>
      <c r="D20" s="9" t="str">
        <f>IF(A20="","",IFERROR(VLOOKUP(A20,設定!$AB$2:$AJ$14,4,FALSE),""))</f>
        <v>APP 1200×550
PC 1200×400</v>
      </c>
      <c r="E20" s="9" t="str">
        <f>IF(A20="","",IFERROR(VLOOKUP(A20,設定!$AB$2:$AJ$14,5,FALSE),""))</f>
        <v>JPG</v>
      </c>
      <c r="F20" s="10" t="str">
        <f>IF(A20="","",IFERROR(VLOOKUP(A20,設定!$AB$2:$AJ$14,6,FALSE),""))</f>
        <v>主標≤8；副標≤7；日期／警語≤14</v>
      </c>
      <c r="G20" s="10" t="str">
        <f>IF(A20="","",IFERROR(VLOOKUP(A20,設定!$AB$2:$AJ$14,7,FALSE),""))</f>
        <v>APP、PC 各 1 張</v>
      </c>
      <c r="H20" s="10" t="str">
        <f>IF(A20="","",IFERROR(VLOOKUP(A20,設定!$AB$2:$AJ$14,8,FALSE),"尚未提供版型"))</f>
        <v>LPBN_APP／LPBN_PC</v>
      </c>
      <c r="I20" s="6" t="str">
        <f t="shared" ref="I20:I31" si="0">IF(A20="","",IF(C20=0,"未選",IF(H20="尚未提供版型","缺版型","待製作")))</f>
        <v>待製作</v>
      </c>
    </row>
    <row r="21" spans="1:9" ht="38.1" customHeight="1" x14ac:dyDescent="0.25">
      <c r="A21" s="7" t="str">
        <f>IFERROR(INDEX(設定!$C$2:$N$12,MATCH($B$3,設定!$A$2:$A$12,0),2),"")</f>
        <v>DDCard</v>
      </c>
      <c r="B21" s="7" t="str">
        <f>IFERROR(INDEX(設定!$O$2:$Z$12,MATCH($B$3,設定!$A$2:$A$12,0),2),"")</f>
        <v>預設</v>
      </c>
      <c r="C21" s="8">
        <f>IF(A21="","",IF(B21="預設",IFERROR(VLOOKUP(A21,設定!$AB$2:$AJ$14,3,FALSE),1),0))</f>
        <v>1</v>
      </c>
      <c r="D21" s="9" t="str">
        <f>IF(A21="","",IFERROR(VLOOKUP(A21,設定!$AB$2:$AJ$14,4,FALSE),""))</f>
        <v>531×792</v>
      </c>
      <c r="E21" s="9" t="str">
        <f>IF(A21="","",IFERROR(VLOOKUP(A21,設定!$AB$2:$AJ$14,5,FALSE),""))</f>
        <v>JPG</v>
      </c>
      <c r="F21" s="10" t="str">
        <f>IF(A21="","",IFERROR(VLOOKUP(A21,設定!$AB$2:$AJ$14,6,FALSE),""))</f>
        <v>品牌名≤9；主標≤8；副標≤7；日期/警語≤14</v>
      </c>
      <c r="G21" s="10" t="str">
        <f>IF(A21="","",IFERROR(VLOOKUP(A21,設定!$AB$2:$AJ$14,7,FALSE),""))</f>
        <v>LOGO、商品圖；CTA 依版型</v>
      </c>
      <c r="H21" s="10" t="str">
        <f>IF(A21="","",IFERROR(VLOOKUP(A21,設定!$AB$2:$AJ$14,8,FALSE),"尚未提供版型"))</f>
        <v>ddcard無logo／ddcard方logo／ddcard橫logo</v>
      </c>
      <c r="I21" s="6" t="str">
        <f t="shared" si="0"/>
        <v>待製作</v>
      </c>
    </row>
    <row r="22" spans="1:9" ht="38.1" customHeight="1" x14ac:dyDescent="0.25">
      <c r="A22" s="7" t="str">
        <f>IFERROR(INDEX(設定!$C$2:$N$12,MATCH($B$3,設定!$A$2:$A$12,0),3),"")</f>
        <v>HBN</v>
      </c>
      <c r="B22" s="7" t="str">
        <f>IFERROR(INDEX(設定!$O$2:$Z$12,MATCH($B$3,設定!$A$2:$A$12,0),3),"")</f>
        <v>預設</v>
      </c>
      <c r="C22" s="8">
        <f>IF(A22="","",IF(B22="預設",IFERROR(VLOOKUP(A22,設定!$AB$2:$AJ$14,3,FALSE),1),0))</f>
        <v>1</v>
      </c>
      <c r="D22" s="9" t="str">
        <f>IF(A22="","",IFERROR(VLOOKUP(A22,設定!$AB$2:$AJ$14,4,FALSE),""))</f>
        <v>1200×360</v>
      </c>
      <c r="E22" s="9" t="str">
        <f>IF(A22="","",IFERROR(VLOOKUP(A22,設定!$AB$2:$AJ$14,5,FALSE),""))</f>
        <v>JPG</v>
      </c>
      <c r="F22" s="10" t="str">
        <f>IF(A22="","",IFERROR(VLOOKUP(A22,設定!$AB$2:$AJ$14,6,FALSE),""))</f>
        <v>品牌名≤9；主標≤8；副標≤7；日期/警語≤14</v>
      </c>
      <c r="G22" s="10" t="str">
        <f>IF(A22="","",IFERROR(VLOOKUP(A22,設定!$AB$2:$AJ$14,7,FALSE),""))</f>
        <v>橫式或方形 LOGO 版</v>
      </c>
      <c r="H22" s="10" t="str">
        <f>IF(A22="","",IFERROR(VLOOKUP(A22,設定!$AB$2:$AJ$14,8,FALSE),"尚未提供版型"))</f>
        <v>HBN_橫式LOGO／HBN_方式LOGO</v>
      </c>
      <c r="I22" s="6" t="str">
        <f t="shared" si="0"/>
        <v>待製作</v>
      </c>
    </row>
    <row r="23" spans="1:9" ht="38.1" customHeight="1" x14ac:dyDescent="0.25">
      <c r="A23" s="7" t="str">
        <f>IFERROR(INDEX(設定!$C$2:$N$12,MATCH($B$3,設定!$A$2:$A$12,0),4),"")</f>
        <v>活動總覽</v>
      </c>
      <c r="B23" s="7" t="str">
        <f>IFERROR(INDEX(設定!$O$2:$Z$12,MATCH($B$3,設定!$A$2:$A$12,0),4),"")</f>
        <v>預設</v>
      </c>
      <c r="C23" s="8">
        <f>IF(A23="","",IF(B23="預設",IFERROR(VLOOKUP(A23,設定!$AB$2:$AJ$14,3,FALSE),1),0))</f>
        <v>1</v>
      </c>
      <c r="D23" s="9" t="str">
        <f>IF(A23="","",IFERROR(VLOOKUP(A23,設定!$AB$2:$AJ$14,4,FALSE),""))</f>
        <v>依活動規格</v>
      </c>
      <c r="E23" s="9" t="str">
        <f>IF(A23="","",IFERROR(VLOOKUP(A23,設定!$AB$2:$AJ$14,5,FALSE),""))</f>
        <v>JPG/PNG</v>
      </c>
      <c r="F23" s="10" t="str">
        <f>IF(A23="","",IFERROR(VLOOKUP(A23,設定!$AB$2:$AJ$14,6,FALSE),""))</f>
        <v>依活動需求</v>
      </c>
      <c r="G23" s="10" t="str">
        <f>IF(A23="","",IFERROR(VLOOKUP(A23,設定!$AB$2:$AJ$14,7,FALSE),""))</f>
        <v>目前系統尚未提供可編輯版型</v>
      </c>
      <c r="H23" s="10" t="str">
        <f>IF(A23="","",IFERROR(VLOOKUP(A23,設定!$AB$2:$AJ$14,8,FALSE),"尚未提供版型"))</f>
        <v>尚未提供版型</v>
      </c>
      <c r="I23" s="6" t="str">
        <f t="shared" si="0"/>
        <v>缺版型</v>
      </c>
    </row>
    <row r="24" spans="1:9" ht="38.1" customHeight="1" x14ac:dyDescent="0.25">
      <c r="A24" s="7" t="str">
        <f>IFERROR(INDEX(設定!$C$2:$N$12,MATCH($B$3,設定!$A$2:$A$12,0),5),"")</f>
        <v>首頁LOGO牆</v>
      </c>
      <c r="B24" s="7" t="str">
        <f>IFERROR(INDEX(設定!$O$2:$Z$12,MATCH($B$3,設定!$A$2:$A$12,0),5),"")</f>
        <v>預設</v>
      </c>
      <c r="C24" s="8">
        <f>IF(A24="","",IF(B24="預設",IFERROR(VLOOKUP(A24,設定!$AB$2:$AJ$14,3,FALSE),1),0))</f>
        <v>1</v>
      </c>
      <c r="D24" s="9" t="str">
        <f>IF(A24="","",IFERROR(VLOOKUP(A24,設定!$AB$2:$AJ$14,4,FALSE),""))</f>
        <v>402×483</v>
      </c>
      <c r="E24" s="9" t="str">
        <f>IF(A24="","",IFERROR(VLOOKUP(A24,設定!$AB$2:$AJ$14,5,FALSE),""))</f>
        <v>JPG/PNG</v>
      </c>
      <c r="F24" s="10" t="str">
        <f>IF(A24="","",IFERROR(VLOOKUP(A24,設定!$AB$2:$AJ$14,6,FALSE),""))</f>
        <v>LOGO／人物或商品圖可縮放</v>
      </c>
      <c r="G24" s="10" t="str">
        <f>IF(A24="","",IFERROR(VLOOKUP(A24,設定!$AB$2:$AJ$14,7,FALSE),""))</f>
        <v>LOGO 位於曝品或人物範圍內，可用滑鼠縮放</v>
      </c>
      <c r="H24" s="10" t="str">
        <f>IF(A24="","",IFERROR(VLOOKUP(A24,設定!$AB$2:$AJ$14,8,FALSE),"尚未提供版型"))</f>
        <v>首頁LOGO牆</v>
      </c>
      <c r="I24" s="6" t="str">
        <f t="shared" si="0"/>
        <v>待製作</v>
      </c>
    </row>
    <row r="25" spans="1:9" ht="38.1" customHeight="1" x14ac:dyDescent="0.25">
      <c r="A25" s="7" t="str">
        <f>IFERROR(INDEX(設定!$C$2:$N$12,MATCH($B$3,設定!$A$2:$A$12,0),6),"")</f>
        <v>AR</v>
      </c>
      <c r="B25" s="7" t="str">
        <f>IFERROR(INDEX(設定!$O$2:$Z$12,MATCH($B$3,設定!$A$2:$A$12,0),6),"")</f>
        <v>預設</v>
      </c>
      <c r="C25" s="8">
        <f>IF(A25="","",IF(B25="預設",IFERROR(VLOOKUP(A25,設定!$AB$2:$AJ$14,3,FALSE),1),0))</f>
        <v>1</v>
      </c>
      <c r="D25" s="9" t="str">
        <f>IF(A25="","",IFERROR(VLOOKUP(A25,設定!$AB$2:$AJ$14,4,FALSE),""))</f>
        <v>100×100（依規範）</v>
      </c>
      <c r="E25" s="9" t="str">
        <f>IF(A25="","",IFERROR(VLOOKUP(A25,設定!$AB$2:$AJ$14,5,FALSE),""))</f>
        <v>JPG/PNG</v>
      </c>
      <c r="F25" s="10" t="str">
        <f>IF(A25="","",IFERROR(VLOOKUP(A25,設定!$AB$2:$AJ$14,6,FALSE),""))</f>
        <v>文案≤6 或 LOGO；2擇1</v>
      </c>
      <c r="G25" s="10" t="str">
        <f>IF(A25="","",IFERROR(VLOOKUP(A25,設定!$AB$2:$AJ$14,7,FALSE),""))</f>
        <v>目前系統尚未提供可編輯版型</v>
      </c>
      <c r="H25" s="10" t="str">
        <f>IF(A25="","",IFERROR(VLOOKUP(A25,設定!$AB$2:$AJ$14,8,FALSE),"尚未提供版型"))</f>
        <v>尚未提供版型</v>
      </c>
      <c r="I25" s="6" t="str">
        <f t="shared" si="0"/>
        <v>缺版型</v>
      </c>
    </row>
    <row r="26" spans="1:9" ht="38.1" customHeight="1" x14ac:dyDescent="0.25">
      <c r="A26" s="7" t="str">
        <f>IFERROR(INDEX(設定!$C$2:$N$12,MATCH($B$3,設定!$A$2:$A$12,0),7),"")</f>
        <v>FB_Post</v>
      </c>
      <c r="B26" s="7" t="str">
        <f>IFERROR(INDEX(設定!$O$2:$Z$12,MATCH($B$3,設定!$A$2:$A$12,0),7),"")</f>
        <v>預設</v>
      </c>
      <c r="C26" s="8">
        <f>IF(A26="","",IF(B26="預設",IFERROR(VLOOKUP(A26,設定!$AB$2:$AJ$14,3,FALSE),1),0))</f>
        <v>1</v>
      </c>
      <c r="D26" s="9" t="str">
        <f>IF(A26="","",IFERROR(VLOOKUP(A26,設定!$AB$2:$AJ$14,4,FALSE),""))</f>
        <v>1200×630</v>
      </c>
      <c r="E26" s="9" t="str">
        <f>IF(A26="","",IFERROR(VLOOKUP(A26,設定!$AB$2:$AJ$14,5,FALSE),""))</f>
        <v>JPG</v>
      </c>
      <c r="F26" s="10" t="str">
        <f>IF(A26="","",IFERROR(VLOOKUP(A26,設定!$AB$2:$AJ$14,6,FALSE),""))</f>
        <v>品牌名≤9；主標≤8；副標≤7；日期/警語≤14</v>
      </c>
      <c r="G26" s="10" t="str">
        <f>IF(A26="","",IFERROR(VLOOKUP(A26,設定!$AB$2:$AJ$14,7,FALSE),""))</f>
        <v>方 LOGO／橫 LOGO</v>
      </c>
      <c r="H26" s="10" t="str">
        <f>IF(A26="","",IFERROR(VLOOKUP(A26,設定!$AB$2:$AJ$14,8,FALSE),"尚未提供版型"))</f>
        <v>FB_POST_方LOGO／FB_POST_橫LOGO</v>
      </c>
      <c r="I26" s="6" t="str">
        <f t="shared" si="0"/>
        <v>待製作</v>
      </c>
    </row>
    <row r="27" spans="1:9" ht="38.1" customHeight="1" x14ac:dyDescent="0.25">
      <c r="A27" s="7" t="str">
        <f>IFERROR(INDEX(設定!$C$2:$N$12,MATCH($B$3,設定!$A$2:$A$12,0),8),"")</f>
        <v>AMS BN</v>
      </c>
      <c r="B27" s="7" t="str">
        <f>IFERROR(INDEX(設定!$O$2:$Z$12,MATCH($B$3,設定!$A$2:$A$12,0),8),"")</f>
        <v>預設</v>
      </c>
      <c r="C27" s="8">
        <f>IF(A27="","",IF(B27="預設",IFERROR(VLOOKUP(A27,設定!$AB$2:$AJ$14,3,FALSE),1),0))</f>
        <v>1</v>
      </c>
      <c r="D27" s="9" t="str">
        <f>IF(A27="","",IFERROR(VLOOKUP(A27,設定!$AB$2:$AJ$14,4,FALSE),""))</f>
        <v>1077×264（依規範）</v>
      </c>
      <c r="E27" s="9" t="str">
        <f>IF(A27="","",IFERROR(VLOOKUP(A27,設定!$AB$2:$AJ$14,5,FALSE),""))</f>
        <v>JPG</v>
      </c>
      <c r="F27" s="10" t="str">
        <f>IF(A27="","",IFERROR(VLOOKUP(A27,設定!$AB$2:$AJ$14,6,FALSE),""))</f>
        <v>依 AMS 規格</v>
      </c>
      <c r="G27" s="10" t="str">
        <f>IF(A27="","",IFERROR(VLOOKUP(A27,設定!$AB$2:$AJ$14,7,FALSE),""))</f>
        <v>目前系統尚未提供可編輯版型</v>
      </c>
      <c r="H27" s="10" t="str">
        <f>IF(A27="","",IFERROR(VLOOKUP(A27,設定!$AB$2:$AJ$14,8,FALSE),"尚未提供版型"))</f>
        <v>尚未提供版型</v>
      </c>
      <c r="I27" s="6" t="str">
        <f t="shared" si="0"/>
        <v>缺版型</v>
      </c>
    </row>
    <row r="28" spans="1:9" ht="38.1" customHeight="1" x14ac:dyDescent="0.25">
      <c r="A28" s="7" t="str">
        <f>IFERROR(INDEX(設定!$C$2:$N$12,MATCH($B$3,設定!$A$2:$A$12,0),9),"")</f>
        <v>Coin_page</v>
      </c>
      <c r="B28" s="7" t="str">
        <f>IFERROR(INDEX(設定!$O$2:$Z$12,MATCH($B$3,設定!$A$2:$A$12,0),9),"")</f>
        <v>選配</v>
      </c>
      <c r="C28" s="8">
        <f>IF(A28="","",IF(B28="預設",IFERROR(VLOOKUP(A28,設定!$AB$2:$AJ$14,3,FALSE),1),0))</f>
        <v>0</v>
      </c>
      <c r="D28" s="9" t="str">
        <f>IF(A28="","",IFERROR(VLOOKUP(A28,設定!$AB$2:$AJ$14,4,FALSE),""))</f>
        <v>1200×391</v>
      </c>
      <c r="E28" s="9" t="str">
        <f>IF(A28="","",IFERROR(VLOOKUP(A28,設定!$AB$2:$AJ$14,5,FALSE),""))</f>
        <v>JPG</v>
      </c>
      <c r="F28" s="10" t="str">
        <f>IF(A28="","",IFERROR(VLOOKUP(A28,設定!$AB$2:$AJ$14,6,FALSE),""))</f>
        <v>品牌名≤9；主標≤8；副標≤7；日期/警語≤14</v>
      </c>
      <c r="G28" s="10" t="str">
        <f>IF(A28="","",IFERROR(VLOOKUP(A28,設定!$AB$2:$AJ$14,7,FALSE),""))</f>
        <v>方 LOGO／橫 LOGO</v>
      </c>
      <c r="H28" s="10" t="str">
        <f>IF(A28="","",IFERROR(VLOOKUP(A28,設定!$AB$2:$AJ$14,8,FALSE),"尚未提供版型"))</f>
        <v>Coin_pageBN_APP方LOGO／Coin_pageBN_APP橫LOGO</v>
      </c>
      <c r="I28" s="6" t="str">
        <f t="shared" si="0"/>
        <v>未選</v>
      </c>
    </row>
    <row r="29" spans="1:9" ht="38.1" customHeight="1" x14ac:dyDescent="0.25">
      <c r="A29" s="7" t="str">
        <f>IFERROR(INDEX(設定!$C$2:$N$12,MATCH($B$3,設定!$A$2:$A$12,0),10),"")</f>
        <v>IG</v>
      </c>
      <c r="B29" s="7" t="str">
        <f>IFERROR(INDEX(設定!$O$2:$Z$12,MATCH($B$3,設定!$A$2:$A$12,0),10),"")</f>
        <v>選配</v>
      </c>
      <c r="C29" s="8">
        <f>IF(A29="","",IF(B29="預設",IFERROR(VLOOKUP(A29,設定!$AB$2:$AJ$14,3,FALSE),1),0))</f>
        <v>0</v>
      </c>
      <c r="D29" s="9" t="str">
        <f>IF(A29="","",IFERROR(VLOOKUP(A29,設定!$AB$2:$AJ$14,4,FALSE),""))</f>
        <v>900×1600</v>
      </c>
      <c r="E29" s="9" t="str">
        <f>IF(A29="","",IFERROR(VLOOKUP(A29,設定!$AB$2:$AJ$14,5,FALSE),""))</f>
        <v>JPG</v>
      </c>
      <c r="F29" s="10" t="str">
        <f>IF(A29="","",IFERROR(VLOOKUP(A29,設定!$AB$2:$AJ$14,6,FALSE),""))</f>
        <v>品牌名≤9；主標≤8；副標≤7；日期/警語≤14</v>
      </c>
      <c r="G29" s="10" t="str">
        <f>IF(A29="","",IFERROR(VLOOKUP(A29,設定!$AB$2:$AJ$14,7,FALSE),""))</f>
        <v>方 LOGO／橫 LOGO</v>
      </c>
      <c r="H29" s="10" t="str">
        <f>IF(A29="","",IFERROR(VLOOKUP(A29,設定!$AB$2:$AJ$14,8,FALSE),"尚未提供版型"))</f>
        <v>IG方logo排版／IG橫logo排版</v>
      </c>
      <c r="I29" s="6" t="str">
        <f t="shared" si="0"/>
        <v>未選</v>
      </c>
    </row>
    <row r="30" spans="1:9" ht="38.1" customHeight="1" x14ac:dyDescent="0.25">
      <c r="A30" s="7" t="str">
        <f>IFERROR(INDEX(設定!$C$2:$N$12,MATCH($B$3,設定!$A$2:$A$12,0),11),"")</f>
        <v>SearchIcon</v>
      </c>
      <c r="B30" s="7" t="str">
        <f>IFERROR(INDEX(設定!$O$2:$Z$12,MATCH($B$3,設定!$A$2:$A$12,0),11),"")</f>
        <v>選配</v>
      </c>
      <c r="C30" s="8">
        <f>IF(A30="","",IF(B30="預設",IFERROR(VLOOKUP(A30,設定!$AB$2:$AJ$14,3,FALSE),1),0))</f>
        <v>0</v>
      </c>
      <c r="D30" s="9" t="str">
        <f>IF(A30="","",IFERROR(VLOOKUP(A30,設定!$AB$2:$AJ$14,4,FALSE),""))</f>
        <v>120×120＋84×84</v>
      </c>
      <c r="E30" s="9" t="str">
        <f>IF(A30="","",IFERROR(VLOOKUP(A30,設定!$AB$2:$AJ$14,5,FALSE),""))</f>
        <v>PNG</v>
      </c>
      <c r="F30" s="10" t="str">
        <f>IF(A30="","",IFERROR(VLOOKUP(A30,設定!$AB$2:$AJ$14,6,FALSE),""))</f>
        <v>ICON 文案≤2；或 LOGO／商品圖</v>
      </c>
      <c r="G30" s="10" t="str">
        <f>IF(A30="","",IFERROR(VLOOKUP(A30,設定!$AB$2:$AJ$14,7,FALSE),""))</f>
        <v>120×120 建議 &lt;50KB，另輸出 84×84</v>
      </c>
      <c r="H30" s="10" t="str">
        <f>IF(A30="","",IFERROR(VLOOKUP(A30,設定!$AB$2:$AJ$14,8,FALSE),"尚未提供版型"))</f>
        <v>SearchICON_LOGO／PRODUCT／TEXT</v>
      </c>
      <c r="I30" s="6" t="str">
        <f t="shared" si="0"/>
        <v>未選</v>
      </c>
    </row>
    <row r="31" spans="1:9" ht="38.1" customHeight="1" x14ac:dyDescent="0.25">
      <c r="A31" s="7" t="str">
        <f>IFERROR(INDEX(設定!$C$2:$N$12,MATCH($B$3,設定!$A$2:$A$12,0),12),"")</f>
        <v>SearchImage</v>
      </c>
      <c r="B31" s="7" t="str">
        <f>IFERROR(INDEX(設定!$O$2:$Z$12,MATCH($B$3,設定!$A$2:$A$12,0),12),"")</f>
        <v>選配</v>
      </c>
      <c r="C31" s="8">
        <f>IF(A31="","",IF(B31="預設",IFERROR(VLOOKUP(A31,設定!$AB$2:$AJ$14,3,FALSE),1),0))</f>
        <v>0</v>
      </c>
      <c r="D31" s="9" t="str">
        <f>IF(A31="","",IFERROR(VLOOKUP(A31,設定!$AB$2:$AJ$14,4,FALSE),""))</f>
        <v>1125×156</v>
      </c>
      <c r="E31" s="9" t="str">
        <f>IF(A31="","",IFERROR(VLOOKUP(A31,設定!$AB$2:$AJ$14,5,FALSE),""))</f>
        <v>JPG/PNG</v>
      </c>
      <c r="F31" s="10" t="str">
        <f>IF(A31="","",IFERROR(VLOOKUP(A31,設定!$AB$2:$AJ$14,6,FALSE),""))</f>
        <v>副標≤7；LOGO 1～3 個</v>
      </c>
      <c r="G31" s="10" t="str">
        <f>IF(A31="","",IFERROR(VLOOKUP(A31,設定!$AB$2:$AJ$14,7,FALSE),""))</f>
        <v>依選用版型提供 1～3 個 LOGO</v>
      </c>
      <c r="H31" s="10" t="str">
        <f>IF(A31="","",IFERROR(VLOOKUP(A31,設定!$AB$2:$AJ$14,8,FALSE),"尚未提供版型"))</f>
        <v>Search_Image1logo／2logo／3logo</v>
      </c>
      <c r="I31" s="6" t="str">
        <f t="shared" si="0"/>
        <v>未選</v>
      </c>
    </row>
    <row r="34" spans="1:9" x14ac:dyDescent="0.25">
      <c r="A34" s="51" t="s">
        <v>49</v>
      </c>
      <c r="B34" s="51"/>
      <c r="C34" s="51"/>
      <c r="D34" s="51"/>
      <c r="E34" s="51"/>
      <c r="F34" s="51"/>
      <c r="G34" s="51"/>
      <c r="H34" s="51"/>
      <c r="I34" s="51"/>
    </row>
    <row r="35" spans="1:9" x14ac:dyDescent="0.25">
      <c r="A35" s="1" t="s">
        <v>41</v>
      </c>
      <c r="B35" s="1" t="s">
        <v>50</v>
      </c>
      <c r="C35" s="1" t="s">
        <v>51</v>
      </c>
      <c r="D35" s="1" t="s">
        <v>52</v>
      </c>
      <c r="E35" s="1" t="s">
        <v>53</v>
      </c>
      <c r="F35" s="1" t="s">
        <v>54</v>
      </c>
      <c r="G35" s="1" t="s">
        <v>46</v>
      </c>
      <c r="H35" s="1" t="s">
        <v>55</v>
      </c>
      <c r="I35" s="1" t="s">
        <v>48</v>
      </c>
    </row>
    <row r="36" spans="1:9" ht="33.950000000000003" customHeight="1" x14ac:dyDescent="0.25">
      <c r="A36" s="9" t="s">
        <v>56</v>
      </c>
      <c r="B36" s="9" t="s">
        <v>57</v>
      </c>
      <c r="C36" s="6">
        <v>1</v>
      </c>
      <c r="D36" s="6">
        <v>4</v>
      </c>
      <c r="E36" s="9" t="s">
        <v>58</v>
      </c>
      <c r="F36" s="10" t="s">
        <v>59</v>
      </c>
      <c r="G36" s="10" t="s">
        <v>60</v>
      </c>
      <c r="H36" s="9" t="s">
        <v>61</v>
      </c>
      <c r="I36" s="11" t="s">
        <v>62</v>
      </c>
    </row>
    <row r="37" spans="1:9" ht="33.950000000000003" customHeight="1" x14ac:dyDescent="0.25">
      <c r="A37" s="9" t="s">
        <v>63</v>
      </c>
      <c r="B37" s="9" t="s">
        <v>64</v>
      </c>
      <c r="C37" s="6">
        <v>2</v>
      </c>
      <c r="D37" s="6">
        <v>1</v>
      </c>
      <c r="E37" s="9" t="s">
        <v>65</v>
      </c>
      <c r="F37" s="10" t="s">
        <v>66</v>
      </c>
      <c r="G37" s="10" t="s">
        <v>60</v>
      </c>
      <c r="H37" s="9" t="s">
        <v>67</v>
      </c>
      <c r="I37" s="11" t="s">
        <v>62</v>
      </c>
    </row>
    <row r="38" spans="1:9" ht="33.950000000000003" customHeight="1" x14ac:dyDescent="0.25">
      <c r="A38" s="9" t="s">
        <v>56</v>
      </c>
      <c r="B38" s="9" t="s">
        <v>57</v>
      </c>
      <c r="C38" s="6">
        <v>3</v>
      </c>
      <c r="D38" s="6">
        <v>4</v>
      </c>
      <c r="E38" s="9" t="s">
        <v>58</v>
      </c>
      <c r="F38" s="10" t="s">
        <v>59</v>
      </c>
      <c r="G38" s="10" t="s">
        <v>60</v>
      </c>
      <c r="H38" s="9" t="s">
        <v>68</v>
      </c>
      <c r="I38" s="11" t="s">
        <v>62</v>
      </c>
    </row>
    <row r="39" spans="1:9" ht="33.950000000000003" customHeight="1" x14ac:dyDescent="0.25">
      <c r="A39" s="9" t="s">
        <v>63</v>
      </c>
      <c r="B39" s="9" t="s">
        <v>69</v>
      </c>
      <c r="C39" s="6">
        <v>4</v>
      </c>
      <c r="D39" s="6">
        <v>3</v>
      </c>
      <c r="E39" s="9" t="s">
        <v>70</v>
      </c>
      <c r="F39" s="10" t="s">
        <v>71</v>
      </c>
      <c r="G39" s="10" t="s">
        <v>60</v>
      </c>
      <c r="H39" s="9" t="s">
        <v>72</v>
      </c>
      <c r="I39" s="11" t="s">
        <v>62</v>
      </c>
    </row>
    <row r="40" spans="1:9" ht="33.950000000000003" customHeight="1" x14ac:dyDescent="0.25">
      <c r="A40" s="9" t="s">
        <v>63</v>
      </c>
      <c r="B40" s="9" t="s">
        <v>73</v>
      </c>
      <c r="C40" s="6">
        <v>5</v>
      </c>
      <c r="D40" s="6">
        <v>1</v>
      </c>
      <c r="E40" s="9" t="s">
        <v>74</v>
      </c>
      <c r="F40" s="10" t="s">
        <v>75</v>
      </c>
      <c r="G40" s="10" t="s">
        <v>60</v>
      </c>
      <c r="H40" s="9" t="s">
        <v>76</v>
      </c>
      <c r="I40" s="11" t="s">
        <v>62</v>
      </c>
    </row>
    <row r="41" spans="1:9" ht="33.950000000000003" customHeight="1" x14ac:dyDescent="0.25">
      <c r="A41" s="9" t="s">
        <v>63</v>
      </c>
      <c r="B41" s="9" t="s">
        <v>77</v>
      </c>
      <c r="C41" s="6">
        <v>6</v>
      </c>
      <c r="D41" s="6">
        <v>1</v>
      </c>
      <c r="E41" s="9" t="s">
        <v>78</v>
      </c>
      <c r="F41" s="10" t="s">
        <v>79</v>
      </c>
      <c r="G41" s="10" t="s">
        <v>60</v>
      </c>
      <c r="H41" s="9" t="s">
        <v>80</v>
      </c>
      <c r="I41" s="11" t="s">
        <v>62</v>
      </c>
    </row>
    <row r="42" spans="1:9" ht="33.950000000000003" customHeight="1" x14ac:dyDescent="0.25">
      <c r="A42" s="9" t="s">
        <v>63</v>
      </c>
      <c r="B42" s="9" t="s">
        <v>81</v>
      </c>
      <c r="C42" s="6">
        <v>7</v>
      </c>
      <c r="D42" s="6">
        <v>1</v>
      </c>
      <c r="E42" s="9" t="s">
        <v>82</v>
      </c>
      <c r="F42" s="10" t="s">
        <v>83</v>
      </c>
      <c r="G42" s="10" t="s">
        <v>60</v>
      </c>
      <c r="H42" s="9" t="s">
        <v>84</v>
      </c>
      <c r="I42" s="11" t="s">
        <v>62</v>
      </c>
    </row>
  </sheetData>
  <sheetProtection sheet="1" autoFilter="0"/>
  <autoFilter ref="A19:I31" xr:uid="{00000000-0009-0000-0000-000000000000}"/>
  <mergeCells count="27">
    <mergeCell ref="A1:I1"/>
    <mergeCell ref="B3:D3"/>
    <mergeCell ref="F3:G3"/>
    <mergeCell ref="B4:D4"/>
    <mergeCell ref="F4:G4"/>
    <mergeCell ref="B5:D5"/>
    <mergeCell ref="F5:G5"/>
    <mergeCell ref="B6:D6"/>
    <mergeCell ref="F6:I6"/>
    <mergeCell ref="B7:I7"/>
    <mergeCell ref="A9:I9"/>
    <mergeCell ref="B10:D10"/>
    <mergeCell ref="F10:I10"/>
    <mergeCell ref="B11:D11"/>
    <mergeCell ref="F11:H11"/>
    <mergeCell ref="B12:D12"/>
    <mergeCell ref="F12:H12"/>
    <mergeCell ref="B13:D13"/>
    <mergeCell ref="F13:H13"/>
    <mergeCell ref="B14:D14"/>
    <mergeCell ref="F14:H14"/>
    <mergeCell ref="A34:I34"/>
    <mergeCell ref="B15:D15"/>
    <mergeCell ref="F15:H15"/>
    <mergeCell ref="B16:D16"/>
    <mergeCell ref="F16:H16"/>
    <mergeCell ref="A18:I18"/>
  </mergeCells>
  <phoneticPr fontId="20" type="noConversion"/>
  <conditionalFormatting sqref="A20:I31">
    <cfRule type="expression" dxfId="143" priority="394">
      <formula>$B20="預設"</formula>
    </cfRule>
    <cfRule type="expression" dxfId="142" priority="395">
      <formula>$B20="選配"</formula>
    </cfRule>
    <cfRule type="expression" dxfId="141" priority="396">
      <formula>$I20="缺版型"</formula>
    </cfRule>
  </conditionalFormatting>
  <conditionalFormatting sqref="B11">
    <cfRule type="expression" dxfId="140" priority="389">
      <formula>LENB(B11)/2&gt;9</formula>
    </cfRule>
  </conditionalFormatting>
  <conditionalFormatting sqref="B12">
    <cfRule type="expression" dxfId="139" priority="390">
      <formula>LENB(B12)/2&gt;8</formula>
    </cfRule>
  </conditionalFormatting>
  <conditionalFormatting sqref="B13">
    <cfRule type="expression" dxfId="138" priority="391">
      <formula>LENB(B13)/2&gt;7</formula>
    </cfRule>
  </conditionalFormatting>
  <conditionalFormatting sqref="B14">
    <cfRule type="expression" dxfId="137" priority="392">
      <formula>LENB(B14)/2&gt;14</formula>
    </cfRule>
  </conditionalFormatting>
  <conditionalFormatting sqref="B15">
    <cfRule type="expression" dxfId="136" priority="393">
      <formula>LENB(B15)/2&gt;2</formula>
    </cfRule>
  </conditionalFormatting>
  <dataValidations count="9">
    <dataValidation type="custom" showErrorMessage="1" errorTitle="色碼格式錯誤" error="請輸入 #RRGGBB，例如 #6bc0ec。" sqref="B10" xr:uid="{00000000-0002-0000-0000-000000000000}">
      <formula1>AND(LEFT(B10,1)="#",LEN(B10)=7)</formula1>
    </dataValidation>
    <dataValidation type="custom" allowBlank="1" showInputMessage="1" showErrorMessage="1" errorTitle="超過字數上限" error="最多 9 個字；中文算 1，英數與半形符號算 0.5。" promptTitle="字數限制：9" prompt="中文算 1，英數與半形符號算 0.5。" sqref="B11" xr:uid="{00000000-0002-0000-0000-000001000000}">
      <formula1>LENB(B11)/2&lt;=9</formula1>
    </dataValidation>
    <dataValidation type="custom" allowBlank="1" showInputMessage="1" showErrorMessage="1" errorTitle="超過字數上限" error="最多 8 個字；中文算 1，英數與半形符號算 0.5。" promptTitle="字數限制：8" prompt="中文算 1，英數與半形符號算 0.5。" sqref="B12" xr:uid="{00000000-0002-0000-0000-000002000000}">
      <formula1>LENB(B12)/2&lt;=8</formula1>
    </dataValidation>
    <dataValidation type="custom" allowBlank="1" showInputMessage="1" showErrorMessage="1" errorTitle="超過字數上限" error="最多 7 個字；中文算 1，英數與半形符號算 0.5。" promptTitle="字數限制：7" prompt="中文算 1，英數與半形符號算 0.5。" sqref="B13" xr:uid="{00000000-0002-0000-0000-000003000000}">
      <formula1>LENB(B13)/2&lt;=7</formula1>
    </dataValidation>
    <dataValidation type="custom" allowBlank="1" showInputMessage="1" showErrorMessage="1" errorTitle="超過字數上限" error="最多 14 個字；中文算 1，英數與半形符號算 0.5。" promptTitle="字數限制：14" prompt="中文算 1，英數與半形符號算 0.5。" sqref="B14" xr:uid="{00000000-0002-0000-0000-000004000000}">
      <formula1>LENB(B14)/2&lt;=14</formula1>
    </dataValidation>
    <dataValidation type="custom" allowBlank="1" showInputMessage="1" showErrorMessage="1" errorTitle="超過字數上限" error="最多 2 個字；中文算 1，英數與半形符號算 0.5。" promptTitle="字數限制：2" prompt="中文算 1，英數與半形符號算 0.5。" sqref="B15" xr:uid="{00000000-0002-0000-0000-000005000000}">
      <formula1>LENB(B15)/2&lt;=2</formula1>
    </dataValidation>
    <dataValidation type="custom" allowBlank="1" showErrorMessage="1" errorTitle="曝品圖超過上限" error="最多 3 張曝品圖；檔名請使用逗號分隔。" sqref="B16" xr:uid="{00000000-0002-0000-0000-000006000000}">
      <formula1>OR(B16="",LEN(B16)-LEN(SUBSTITUTE(B16,",",""))+1&lt;=3)</formula1>
    </dataValidation>
    <dataValidation type="list" showErrorMessage="1" errorTitle="請選擇系統等級" error="請使用下拉選單中的包套(等級)。" sqref="B3" xr:uid="{00000000-0002-0000-0000-000007000000}">
      <formula1>"A Brand star (Mega),A Brand star (Mega) 資交,A 精選套裝,A 品牌旗艦MDD,A 品牌旗艦MDD 資交,B+ BOD A,B+ BOD A 資交,B+ BOD B (Mega),B+ 基礎套裝,B JBP多店,B 金牌 (Mega)"</formula1>
    </dataValidation>
    <dataValidation type="whole" allowBlank="1" showErrorMessage="1" errorTitle="張數格式錯誤" error="請輸入 0～20 的整數。" sqref="C20:C31" xr:uid="{00000000-0002-0000-0000-000008000000}">
      <formula1>0</formula1>
      <formula2>20</formula2>
    </dataValidation>
  </dataValidations>
  <pageMargins left="0.25" right="0.25" top="0.4" bottom="0.4" header="0.2" footer="0.2"/>
  <pageSetup paperSize="9" fitToHeight="0" orientation="landscape" r:id="rId1"/>
  <headerFooter>
    <oddFooter>&amp;L BODA 工單&amp;C 工單總覽&amp;R 第 &amp;P / &amp;N 頁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34F5C"/>
    <pageSetUpPr fitToPage="1"/>
  </sheetPr>
  <dimension ref="A1:AG55"/>
  <sheetViews>
    <sheetView showGridLines="0" workbookViewId="0">
      <pane xSplit="2" ySplit="2" topLeftCell="C38" activePane="bottomRight" state="frozen"/>
      <selection pane="topRight"/>
      <selection pane="bottomLeft"/>
      <selection pane="bottomRight" activeCell="L48" sqref="L48"/>
    </sheetView>
  </sheetViews>
  <sheetFormatPr defaultRowHeight="15.75" x14ac:dyDescent="0.25"/>
  <cols>
    <col min="1" max="1" width="10.28515625" customWidth="1"/>
    <col min="2" max="3" width="10.42578125" customWidth="1"/>
    <col min="7" max="8" width="10.42578125" customWidth="1"/>
    <col min="12" max="13" width="10.42578125" customWidth="1"/>
    <col min="14" max="17" width="6.7109375" customWidth="1"/>
    <col min="18" max="18" width="10.42578125" customWidth="1"/>
    <col min="19" max="19" width="2.42578125" customWidth="1"/>
    <col min="20" max="23" width="5.28515625" customWidth="1"/>
    <col min="24" max="28" width="4.42578125" customWidth="1"/>
    <col min="29" max="33" width="5.28515625" customWidth="1"/>
  </cols>
  <sheetData>
    <row r="1" spans="1:33" ht="24" customHeight="1" x14ac:dyDescent="0.25">
      <c r="A1" s="49" t="s">
        <v>85</v>
      </c>
      <c r="B1" s="49" t="s">
        <v>86</v>
      </c>
      <c r="C1" s="49" t="s">
        <v>87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12"/>
      <c r="T1" s="49" t="s">
        <v>88</v>
      </c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</row>
    <row r="2" spans="1:33" ht="20.100000000000001" customHeight="1" x14ac:dyDescent="0.25">
      <c r="A2" s="49"/>
      <c r="B2" s="49"/>
      <c r="C2" s="50" t="s">
        <v>89</v>
      </c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13"/>
      <c r="T2" s="50" t="s">
        <v>90</v>
      </c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</row>
    <row r="3" spans="1:33" ht="23.1" customHeight="1" x14ac:dyDescent="0.25">
      <c r="A3" s="38" t="s">
        <v>56</v>
      </c>
      <c r="B3" s="38" t="s">
        <v>91</v>
      </c>
      <c r="C3" s="37" t="s">
        <v>92</v>
      </c>
      <c r="D3" s="37"/>
      <c r="E3" s="37"/>
      <c r="F3" s="37"/>
      <c r="G3" s="37" t="s">
        <v>93</v>
      </c>
      <c r="H3" s="37"/>
      <c r="I3" s="37"/>
      <c r="J3" s="37"/>
      <c r="K3" s="37" t="s">
        <v>94</v>
      </c>
      <c r="L3" s="37"/>
      <c r="M3" s="37"/>
      <c r="N3" s="37"/>
      <c r="O3" s="37" t="s">
        <v>95</v>
      </c>
      <c r="P3" s="37"/>
      <c r="Q3" s="37"/>
      <c r="R3" s="37"/>
      <c r="T3" s="48" t="s">
        <v>92</v>
      </c>
      <c r="U3" s="48"/>
      <c r="V3" s="48"/>
      <c r="W3" s="48" t="s">
        <v>93</v>
      </c>
      <c r="X3" s="48"/>
      <c r="Y3" s="48"/>
      <c r="Z3" s="48"/>
      <c r="AA3" s="48" t="s">
        <v>94</v>
      </c>
      <c r="AB3" s="48"/>
      <c r="AC3" s="48"/>
      <c r="AD3" s="48" t="s">
        <v>95</v>
      </c>
      <c r="AE3" s="48"/>
      <c r="AF3" s="48"/>
      <c r="AG3" s="48"/>
    </row>
    <row r="4" spans="1:33" ht="21.95" customHeight="1" x14ac:dyDescent="0.25">
      <c r="A4" s="38"/>
      <c r="B4" s="38"/>
      <c r="C4" s="15" t="s">
        <v>96</v>
      </c>
      <c r="D4" s="40" t="s">
        <v>514</v>
      </c>
      <c r="E4" s="40"/>
      <c r="F4" s="6" t="str">
        <f>IF(D4="","待填","OK")</f>
        <v>OK</v>
      </c>
      <c r="G4" s="15" t="s">
        <v>96</v>
      </c>
      <c r="H4" s="40" t="s">
        <v>518</v>
      </c>
      <c r="I4" s="40"/>
      <c r="J4" s="6" t="str">
        <f>IF(H4="","待填","OK")</f>
        <v>OK</v>
      </c>
      <c r="K4" s="15" t="s">
        <v>96</v>
      </c>
      <c r="L4" s="40" t="s">
        <v>522</v>
      </c>
      <c r="M4" s="40"/>
      <c r="N4" s="6" t="str">
        <f>IF(L4="","待填","OK")</f>
        <v>OK</v>
      </c>
      <c r="O4" s="15" t="s">
        <v>96</v>
      </c>
      <c r="P4" s="40" t="s">
        <v>526</v>
      </c>
      <c r="Q4" s="40"/>
      <c r="R4" s="6" t="str">
        <f>IF(P4="","待填","OK")</f>
        <v>OK</v>
      </c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</row>
    <row r="5" spans="1:33" ht="21.95" customHeight="1" x14ac:dyDescent="0.25">
      <c r="A5" s="38"/>
      <c r="B5" s="38"/>
      <c r="C5" s="15" t="s">
        <v>97</v>
      </c>
      <c r="D5" s="44" t="s">
        <v>515</v>
      </c>
      <c r="E5" s="44"/>
      <c r="F5" s="6" t="str">
        <f>IF(D5="","待填",IF(ISNUMBER(SEARCH(".",D5)),"OK","記得加副檔名"))</f>
        <v>OK</v>
      </c>
      <c r="G5" s="15" t="s">
        <v>97</v>
      </c>
      <c r="H5" s="44" t="s">
        <v>519</v>
      </c>
      <c r="I5" s="44"/>
      <c r="J5" s="6" t="str">
        <f>IF(H5="","待填",IF(ISNUMBER(SEARCH(".",H5)),"OK","記得加副檔名"))</f>
        <v>OK</v>
      </c>
      <c r="K5" s="15" t="s">
        <v>97</v>
      </c>
      <c r="L5" s="44" t="s">
        <v>523</v>
      </c>
      <c r="M5" s="44"/>
      <c r="N5" s="6" t="str">
        <f>IF(L5="","待填",IF(ISNUMBER(SEARCH(".",L5)),"OK","記得加副檔名"))</f>
        <v>OK</v>
      </c>
      <c r="O5" s="15" t="s">
        <v>97</v>
      </c>
      <c r="P5" s="43" t="s">
        <v>527</v>
      </c>
      <c r="Q5" s="44"/>
      <c r="R5" s="6" t="str">
        <f>IF(P5="","待填",IF(ISNUMBER(SEARCH(".",P5)),"OK","記得加副檔名"))</f>
        <v>OK</v>
      </c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</row>
    <row r="6" spans="1:33" ht="21.95" customHeight="1" x14ac:dyDescent="0.25">
      <c r="A6" s="38"/>
      <c r="B6" s="38"/>
      <c r="C6" s="15" t="s">
        <v>98</v>
      </c>
      <c r="D6" s="40" t="s">
        <v>516</v>
      </c>
      <c r="E6" s="40"/>
      <c r="F6" s="6" t="str">
        <f>IF(D6="","限5字",IF(LENB(D6)/2&lt;=5,"OK","超過"))</f>
        <v>OK</v>
      </c>
      <c r="G6" s="15" t="s">
        <v>98</v>
      </c>
      <c r="H6" s="40" t="s">
        <v>520</v>
      </c>
      <c r="I6" s="40"/>
      <c r="J6" s="6" t="str">
        <f>IF(H6="","限5字",IF(LENB(H6)/2&lt;=5,"OK","超過"))</f>
        <v>OK</v>
      </c>
      <c r="K6" s="15" t="s">
        <v>98</v>
      </c>
      <c r="L6" s="40" t="s">
        <v>524</v>
      </c>
      <c r="M6" s="40"/>
      <c r="N6" s="6" t="str">
        <f>IF(L6="","限5字",IF(LENB(L6)/2&lt;=5,"OK","超過"))</f>
        <v>OK</v>
      </c>
      <c r="O6" s="15" t="s">
        <v>98</v>
      </c>
      <c r="P6" s="39" t="s">
        <v>528</v>
      </c>
      <c r="Q6" s="40"/>
      <c r="R6" s="6" t="str">
        <f>IF(P6="","限5字",IF(LENB(P6)/2&lt;=5,"OK","超過"))</f>
        <v>OK</v>
      </c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7" spans="1:33" ht="21.95" customHeight="1" x14ac:dyDescent="0.25">
      <c r="A7" s="38"/>
      <c r="B7" s="38"/>
      <c r="C7" s="15" t="s">
        <v>99</v>
      </c>
      <c r="D7" s="40" t="s">
        <v>517</v>
      </c>
      <c r="E7" s="40"/>
      <c r="F7" s="6" t="str">
        <f>IF(D7="","限6字",IF(LENB(D7)/2&lt;=6,"OK","超過"))</f>
        <v>OK</v>
      </c>
      <c r="G7" s="15" t="s">
        <v>99</v>
      </c>
      <c r="H7" s="40" t="s">
        <v>521</v>
      </c>
      <c r="I7" s="40"/>
      <c r="J7" s="6" t="str">
        <f>IF(H7="","限6字",IF(LENB(H7)/2&lt;=6,"OK","超過"))</f>
        <v>OK</v>
      </c>
      <c r="K7" s="15" t="s">
        <v>99</v>
      </c>
      <c r="L7" s="40" t="s">
        <v>525</v>
      </c>
      <c r="M7" s="40"/>
      <c r="N7" s="6" t="str">
        <f>IF(L7="","限6字",IF(LENB(L7)/2&lt;=6,"OK","超過"))</f>
        <v>OK</v>
      </c>
      <c r="O7" s="15" t="s">
        <v>99</v>
      </c>
      <c r="P7" s="39" t="s">
        <v>529</v>
      </c>
      <c r="Q7" s="40"/>
      <c r="R7" s="6" t="str">
        <f>IF(P7="","限6字",IF(LENB(P7)/2&lt;=6,"OK","超過"))</f>
        <v>OK</v>
      </c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</row>
    <row r="8" spans="1:33" ht="21.95" customHeight="1" x14ac:dyDescent="0.25">
      <c r="A8" s="38"/>
      <c r="B8" s="38"/>
      <c r="C8" s="17" t="s">
        <v>6</v>
      </c>
      <c r="D8" s="17"/>
      <c r="E8" s="17"/>
      <c r="F8" s="17"/>
      <c r="G8" s="17" t="s">
        <v>6</v>
      </c>
      <c r="H8" s="17"/>
      <c r="I8" s="17"/>
      <c r="J8" s="17"/>
      <c r="K8" s="17" t="s">
        <v>6</v>
      </c>
      <c r="L8" s="17"/>
      <c r="M8" s="17"/>
      <c r="N8" s="17"/>
      <c r="O8" s="17" t="s">
        <v>6</v>
      </c>
      <c r="P8" s="17"/>
      <c r="Q8" s="17"/>
      <c r="R8" s="17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</row>
    <row r="9" spans="1:33" ht="21.95" customHeight="1" x14ac:dyDescent="0.25">
      <c r="A9" s="38"/>
      <c r="B9" s="38"/>
      <c r="C9" s="17" t="s">
        <v>6</v>
      </c>
      <c r="D9" s="17"/>
      <c r="E9" s="17"/>
      <c r="F9" s="17"/>
      <c r="G9" s="17" t="s">
        <v>6</v>
      </c>
      <c r="H9" s="17"/>
      <c r="I9" s="17"/>
      <c r="J9" s="17"/>
      <c r="K9" s="17" t="s">
        <v>6</v>
      </c>
      <c r="L9" s="17"/>
      <c r="M9" s="17"/>
      <c r="N9" s="17"/>
      <c r="O9" s="17" t="s">
        <v>6</v>
      </c>
      <c r="P9" s="17"/>
      <c r="Q9" s="17"/>
      <c r="R9" s="17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</row>
    <row r="11" spans="1:33" ht="23.1" customHeight="1" x14ac:dyDescent="0.25">
      <c r="A11" s="38" t="s">
        <v>63</v>
      </c>
      <c r="B11" s="38" t="s">
        <v>100</v>
      </c>
      <c r="C11" s="37" t="s">
        <v>101</v>
      </c>
      <c r="D11" s="37"/>
      <c r="E11" s="37"/>
      <c r="F11" s="37"/>
      <c r="G11" s="37"/>
      <c r="H11" s="37"/>
      <c r="I11" s="37"/>
      <c r="J11" s="37"/>
      <c r="K11" s="18"/>
      <c r="L11" s="18"/>
      <c r="M11" s="18"/>
      <c r="N11" s="18"/>
      <c r="O11" s="18"/>
      <c r="P11" s="18"/>
      <c r="Q11" s="18"/>
      <c r="R11" s="18"/>
      <c r="T11" s="14" t="s">
        <v>64</v>
      </c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</row>
    <row r="12" spans="1:33" ht="21.95" customHeight="1" x14ac:dyDescent="0.25">
      <c r="A12" s="38"/>
      <c r="B12" s="38"/>
      <c r="C12" s="15" t="s">
        <v>102</v>
      </c>
      <c r="D12" s="39" t="s">
        <v>531</v>
      </c>
      <c r="E12" s="40"/>
      <c r="F12" s="6" t="str">
        <f>IF(D12="","限7字",IF(LENB(D12)/2&lt;=7,"OK","超過"))</f>
        <v>OK</v>
      </c>
      <c r="G12" s="15" t="s">
        <v>97</v>
      </c>
      <c r="H12" s="43" t="s">
        <v>530</v>
      </c>
      <c r="I12" s="44"/>
      <c r="J12" s="6" t="str">
        <f>IF(H12="","待填",IF(ISNUMBER(SEARCH(".",H12)),"OK","記得加副檔名"))</f>
        <v>OK</v>
      </c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</row>
    <row r="13" spans="1:33" ht="21.95" customHeight="1" x14ac:dyDescent="0.25">
      <c r="A13" s="38"/>
      <c r="B13" s="38"/>
      <c r="C13" s="15" t="s">
        <v>98</v>
      </c>
      <c r="D13" s="39" t="s">
        <v>528</v>
      </c>
      <c r="E13" s="40"/>
      <c r="F13" s="6" t="str">
        <f>IF(D13="","限8字",IF(LENB(D13)/2&lt;=8,"OK","超過"))</f>
        <v>OK</v>
      </c>
      <c r="G13" s="15" t="s">
        <v>103</v>
      </c>
      <c r="H13" s="40" t="s">
        <v>6</v>
      </c>
      <c r="I13" s="40"/>
      <c r="J13" s="6" t="str">
        <f>IF(H13="","待填","OK")</f>
        <v>待填</v>
      </c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</row>
    <row r="14" spans="1:33" ht="21.95" customHeight="1" x14ac:dyDescent="0.25">
      <c r="A14" s="38"/>
      <c r="B14" s="38"/>
      <c r="C14" s="15" t="s">
        <v>98</v>
      </c>
      <c r="D14" s="39" t="s">
        <v>532</v>
      </c>
      <c r="E14" s="40"/>
      <c r="F14" s="6" t="str">
        <f>IF(D14="","限8字",IF(LENB(D14)/2&lt;=8,"OK","超過"))</f>
        <v>OK</v>
      </c>
      <c r="G14" s="15" t="s">
        <v>104</v>
      </c>
      <c r="H14" s="39" t="s">
        <v>534</v>
      </c>
      <c r="I14" s="40"/>
      <c r="J14" s="6" t="str">
        <f>IF(H14="","限5字",IF(LENB(H14)/2&lt;=5,"OK","超過"))</f>
        <v>OK</v>
      </c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</row>
    <row r="15" spans="1:33" ht="21.95" customHeight="1" x14ac:dyDescent="0.25">
      <c r="A15" s="38"/>
      <c r="B15" s="38"/>
      <c r="C15" s="15" t="s">
        <v>99</v>
      </c>
      <c r="D15" s="39" t="s">
        <v>533</v>
      </c>
      <c r="E15" s="40"/>
      <c r="F15" s="6" t="str">
        <f>IF(D15="","限9字",IF(LENB(D15)/2&lt;=9,"OK","超過"))</f>
        <v>OK</v>
      </c>
      <c r="G15" s="15" t="s">
        <v>105</v>
      </c>
      <c r="H15" s="40" t="s">
        <v>6</v>
      </c>
      <c r="I15" s="40"/>
      <c r="J15" s="6" t="str">
        <f>IF(H15="","限5字",IF(LENB(H15)/2&lt;=5,"OK","超過"))</f>
        <v>限5字</v>
      </c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</row>
    <row r="16" spans="1:33" ht="21.95" customHeight="1" x14ac:dyDescent="0.25">
      <c r="A16" s="38"/>
      <c r="B16" s="38"/>
      <c r="C16" s="17"/>
      <c r="D16" s="17"/>
      <c r="E16" s="17"/>
      <c r="F16" s="17"/>
      <c r="G16" s="15" t="s">
        <v>105</v>
      </c>
      <c r="H16" s="40" t="s">
        <v>6</v>
      </c>
      <c r="I16" s="40"/>
      <c r="J16" s="6" t="str">
        <f>IF(H16="","限5字",IF(LENB(H16)/2&lt;=5,"OK","超過"))</f>
        <v>限5字</v>
      </c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</row>
    <row r="17" spans="1:33" ht="21.95" customHeight="1" x14ac:dyDescent="0.25">
      <c r="A17" s="38"/>
      <c r="B17" s="38"/>
      <c r="C17" s="17"/>
      <c r="D17" s="17"/>
      <c r="E17" s="17"/>
      <c r="F17" s="17"/>
      <c r="G17" s="15" t="s">
        <v>106</v>
      </c>
      <c r="H17" s="40" t="s">
        <v>6</v>
      </c>
      <c r="I17" s="40"/>
      <c r="J17" s="6" t="str">
        <f>IF(H17="","待填","OK")</f>
        <v>待填</v>
      </c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</row>
    <row r="18" spans="1:33" ht="21.95" customHeight="1" x14ac:dyDescent="0.25">
      <c r="A18" s="38"/>
      <c r="B18" s="38"/>
      <c r="C18" s="17"/>
      <c r="D18" s="17"/>
      <c r="E18" s="17"/>
      <c r="F18" s="17"/>
      <c r="G18" s="15" t="s">
        <v>107</v>
      </c>
      <c r="H18" s="39" t="s">
        <v>535</v>
      </c>
      <c r="I18" s="40"/>
      <c r="J18" s="6" t="str">
        <f>IF(H18="","待填","OK")</f>
        <v>OK</v>
      </c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</row>
    <row r="20" spans="1:33" ht="23.1" customHeight="1" x14ac:dyDescent="0.25">
      <c r="A20" s="38" t="s">
        <v>56</v>
      </c>
      <c r="B20" s="38" t="s">
        <v>108</v>
      </c>
      <c r="C20" s="37" t="s">
        <v>92</v>
      </c>
      <c r="D20" s="37"/>
      <c r="E20" s="37"/>
      <c r="F20" s="37"/>
      <c r="G20" s="37" t="s">
        <v>93</v>
      </c>
      <c r="H20" s="37"/>
      <c r="I20" s="37"/>
      <c r="J20" s="37"/>
      <c r="K20" s="37" t="s">
        <v>94</v>
      </c>
      <c r="L20" s="37"/>
      <c r="M20" s="37"/>
      <c r="N20" s="37"/>
      <c r="O20" s="37" t="s">
        <v>95</v>
      </c>
      <c r="P20" s="37"/>
      <c r="Q20" s="37"/>
      <c r="R20" s="37"/>
      <c r="T20" s="48" t="s">
        <v>92</v>
      </c>
      <c r="U20" s="48"/>
      <c r="V20" s="48"/>
      <c r="W20" s="48" t="s">
        <v>93</v>
      </c>
      <c r="X20" s="48"/>
      <c r="Y20" s="48"/>
      <c r="Z20" s="48"/>
      <c r="AA20" s="48" t="s">
        <v>94</v>
      </c>
      <c r="AB20" s="48"/>
      <c r="AC20" s="48"/>
      <c r="AD20" s="48" t="s">
        <v>95</v>
      </c>
      <c r="AE20" s="48"/>
      <c r="AF20" s="48"/>
      <c r="AG20" s="48"/>
    </row>
    <row r="21" spans="1:33" ht="21.95" customHeight="1" x14ac:dyDescent="0.25">
      <c r="A21" s="38"/>
      <c r="B21" s="38"/>
      <c r="C21" s="15" t="s">
        <v>96</v>
      </c>
      <c r="D21" s="40" t="s">
        <v>518</v>
      </c>
      <c r="E21" s="40"/>
      <c r="F21" s="6" t="str">
        <f>IF(D21="","待填","OK")</f>
        <v>OK</v>
      </c>
      <c r="G21" s="15" t="s">
        <v>96</v>
      </c>
      <c r="H21" s="40" t="s">
        <v>514</v>
      </c>
      <c r="I21" s="40"/>
      <c r="J21" s="6" t="str">
        <f>IF(H21="","待填","OK")</f>
        <v>OK</v>
      </c>
      <c r="K21" s="15" t="s">
        <v>96</v>
      </c>
      <c r="L21" s="40" t="s">
        <v>526</v>
      </c>
      <c r="M21" s="40"/>
      <c r="N21" s="6" t="str">
        <f>IF(L21="","待填","OK")</f>
        <v>OK</v>
      </c>
      <c r="O21" s="15" t="s">
        <v>96</v>
      </c>
      <c r="P21" s="40" t="s">
        <v>522</v>
      </c>
      <c r="Q21" s="40"/>
      <c r="R21" s="6" t="str">
        <f>IF(P21="","待填","OK")</f>
        <v>OK</v>
      </c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</row>
    <row r="22" spans="1:33" ht="21.95" customHeight="1" x14ac:dyDescent="0.25">
      <c r="A22" s="38"/>
      <c r="B22" s="38"/>
      <c r="C22" s="15" t="s">
        <v>97</v>
      </c>
      <c r="D22" s="44" t="s">
        <v>519</v>
      </c>
      <c r="E22" s="44"/>
      <c r="F22" s="6" t="str">
        <f>IF(D22="","待填",IF(ISNUMBER(SEARCH(".",D22)),"OK","記得加副檔名"))</f>
        <v>OK</v>
      </c>
      <c r="G22" s="15" t="s">
        <v>97</v>
      </c>
      <c r="H22" s="44" t="s">
        <v>515</v>
      </c>
      <c r="I22" s="44"/>
      <c r="J22" s="6" t="str">
        <f>IF(H22="","待填",IF(ISNUMBER(SEARCH(".",H22)),"OK","記得加副檔名"))</f>
        <v>OK</v>
      </c>
      <c r="K22" s="15" t="s">
        <v>97</v>
      </c>
      <c r="L22" s="44" t="s">
        <v>527</v>
      </c>
      <c r="M22" s="44"/>
      <c r="N22" s="6" t="str">
        <f>IF(L22="","待填",IF(ISNUMBER(SEARCH(".",L22)),"OK","記得加副檔名"))</f>
        <v>OK</v>
      </c>
      <c r="O22" s="15" t="s">
        <v>97</v>
      </c>
      <c r="P22" s="44" t="s">
        <v>523</v>
      </c>
      <c r="Q22" s="44"/>
      <c r="R22" s="6" t="str">
        <f>IF(P22="","待填",IF(ISNUMBER(SEARCH(".",P22)),"OK","記得加副檔名"))</f>
        <v>OK</v>
      </c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</row>
    <row r="23" spans="1:33" ht="21.95" customHeight="1" x14ac:dyDescent="0.25">
      <c r="A23" s="38"/>
      <c r="B23" s="38"/>
      <c r="C23" s="15" t="s">
        <v>98</v>
      </c>
      <c r="D23" s="40" t="s">
        <v>520</v>
      </c>
      <c r="E23" s="40"/>
      <c r="F23" s="6" t="str">
        <f>IF(D23="","限5字",IF(LENB(D23)/2&lt;=5,"OK","超過"))</f>
        <v>OK</v>
      </c>
      <c r="G23" s="15" t="s">
        <v>98</v>
      </c>
      <c r="H23" s="40" t="s">
        <v>516</v>
      </c>
      <c r="I23" s="40"/>
      <c r="J23" s="6" t="str">
        <f>IF(H23="","限5字",IF(LENB(H23)/2&lt;=5,"OK","超過"))</f>
        <v>OK</v>
      </c>
      <c r="K23" s="15" t="s">
        <v>98</v>
      </c>
      <c r="L23" s="40" t="s">
        <v>528</v>
      </c>
      <c r="M23" s="40"/>
      <c r="N23" s="6" t="str">
        <f>IF(L23="","限5字",IF(LENB(L23)/2&lt;=5,"OK","超過"))</f>
        <v>OK</v>
      </c>
      <c r="O23" s="15" t="s">
        <v>98</v>
      </c>
      <c r="P23" s="40" t="s">
        <v>524</v>
      </c>
      <c r="Q23" s="40"/>
      <c r="R23" s="6" t="str">
        <f>IF(P23="","限5字",IF(LENB(P23)/2&lt;=5,"OK","超過"))</f>
        <v>OK</v>
      </c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</row>
    <row r="24" spans="1:33" ht="21.95" customHeight="1" x14ac:dyDescent="0.25">
      <c r="A24" s="38"/>
      <c r="B24" s="38"/>
      <c r="C24" s="15" t="s">
        <v>99</v>
      </c>
      <c r="D24" s="40" t="s">
        <v>521</v>
      </c>
      <c r="E24" s="40"/>
      <c r="F24" s="6" t="str">
        <f>IF(D24="","限6字",IF(LENB(D24)/2&lt;=6,"OK","超過"))</f>
        <v>OK</v>
      </c>
      <c r="G24" s="15" t="s">
        <v>99</v>
      </c>
      <c r="H24" s="40" t="s">
        <v>517</v>
      </c>
      <c r="I24" s="40"/>
      <c r="J24" s="6" t="str">
        <f>IF(H24="","限6字",IF(LENB(H24)/2&lt;=6,"OK","超過"))</f>
        <v>OK</v>
      </c>
      <c r="K24" s="15" t="s">
        <v>99</v>
      </c>
      <c r="L24" s="40" t="s">
        <v>529</v>
      </c>
      <c r="M24" s="40"/>
      <c r="N24" s="6" t="str">
        <f>IF(L24="","限6字",IF(LENB(L24)/2&lt;=6,"OK","超過"))</f>
        <v>OK</v>
      </c>
      <c r="O24" s="15" t="s">
        <v>99</v>
      </c>
      <c r="P24" s="40" t="s">
        <v>525</v>
      </c>
      <c r="Q24" s="40"/>
      <c r="R24" s="6" t="str">
        <f>IF(P24="","限6字",IF(LENB(P24)/2&lt;=6,"OK","超過"))</f>
        <v>OK</v>
      </c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</row>
    <row r="25" spans="1:33" ht="21.95" customHeight="1" x14ac:dyDescent="0.25">
      <c r="A25" s="38"/>
      <c r="B25" s="38"/>
      <c r="C25" s="17" t="s">
        <v>6</v>
      </c>
      <c r="D25" s="17"/>
      <c r="E25" s="17"/>
      <c r="F25" s="17"/>
      <c r="G25" s="17" t="s">
        <v>6</v>
      </c>
      <c r="H25" s="17"/>
      <c r="I25" s="17"/>
      <c r="J25" s="17"/>
      <c r="K25" s="17" t="s">
        <v>6</v>
      </c>
      <c r="L25" s="17"/>
      <c r="M25" s="17"/>
      <c r="N25" s="17"/>
      <c r="O25" s="17" t="s">
        <v>6</v>
      </c>
      <c r="P25" s="17"/>
      <c r="Q25" s="17"/>
      <c r="R25" s="17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</row>
    <row r="26" spans="1:33" ht="21.95" customHeight="1" x14ac:dyDescent="0.25">
      <c r="A26" s="38"/>
      <c r="B26" s="38"/>
      <c r="C26" s="17" t="s">
        <v>6</v>
      </c>
      <c r="D26" s="17"/>
      <c r="E26" s="17"/>
      <c r="F26" s="17"/>
      <c r="G26" s="17" t="s">
        <v>6</v>
      </c>
      <c r="H26" s="17"/>
      <c r="I26" s="17"/>
      <c r="J26" s="17"/>
      <c r="K26" s="17" t="s">
        <v>6</v>
      </c>
      <c r="L26" s="17"/>
      <c r="M26" s="17"/>
      <c r="N26" s="17"/>
      <c r="O26" s="17" t="s">
        <v>6</v>
      </c>
      <c r="P26" s="17"/>
      <c r="Q26" s="17"/>
      <c r="R26" s="17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</row>
    <row r="28" spans="1:33" ht="23.1" customHeight="1" x14ac:dyDescent="0.25">
      <c r="A28" s="38" t="s">
        <v>63</v>
      </c>
      <c r="B28" s="38" t="s">
        <v>109</v>
      </c>
      <c r="C28" s="37" t="s">
        <v>110</v>
      </c>
      <c r="D28" s="37"/>
      <c r="E28" s="37"/>
      <c r="F28" s="37"/>
      <c r="G28" s="37" t="s">
        <v>111</v>
      </c>
      <c r="H28" s="37"/>
      <c r="I28" s="37"/>
      <c r="J28" s="37"/>
      <c r="K28" s="37" t="s">
        <v>112</v>
      </c>
      <c r="L28" s="37"/>
      <c r="M28" s="37"/>
      <c r="N28" s="37"/>
      <c r="O28" s="37" t="s">
        <v>113</v>
      </c>
      <c r="P28" s="37"/>
      <c r="Q28" s="37"/>
      <c r="R28" s="37"/>
      <c r="T28" s="14" t="s">
        <v>69</v>
      </c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  <row r="29" spans="1:33" ht="21.95" customHeight="1" x14ac:dyDescent="0.25">
      <c r="A29" s="38"/>
      <c r="B29" s="38"/>
      <c r="C29" s="15" t="s">
        <v>96</v>
      </c>
      <c r="D29" s="41" t="s">
        <v>536</v>
      </c>
      <c r="E29" s="40"/>
      <c r="F29" s="6" t="str">
        <f>IF(D29="","待填","OK")</f>
        <v>OK</v>
      </c>
      <c r="G29" s="15" t="s">
        <v>96</v>
      </c>
      <c r="H29" s="41" t="s">
        <v>537</v>
      </c>
      <c r="I29" s="40"/>
      <c r="J29" s="6" t="str">
        <f>IF(H29="","待填","OK")</f>
        <v>OK</v>
      </c>
      <c r="K29" s="15" t="s">
        <v>96</v>
      </c>
      <c r="L29" s="41" t="s">
        <v>522</v>
      </c>
      <c r="M29" s="40"/>
      <c r="N29" s="6" t="str">
        <f>IF(L29="","待填","OK")</f>
        <v>OK</v>
      </c>
      <c r="O29" s="17" t="s">
        <v>6</v>
      </c>
      <c r="P29" s="17"/>
      <c r="Q29" s="17"/>
      <c r="R29" s="17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</row>
    <row r="30" spans="1:33" ht="21.95" customHeight="1" x14ac:dyDescent="0.25">
      <c r="A30" s="38"/>
      <c r="B30" s="38"/>
      <c r="C30" s="15" t="s">
        <v>98</v>
      </c>
      <c r="D30" s="40" t="s">
        <v>520</v>
      </c>
      <c r="E30" s="40"/>
      <c r="F30" s="6" t="str">
        <f>IF(D30="","限7字",IF(LENB(D30)/2&lt;=7,"OK","超過"))</f>
        <v>OK</v>
      </c>
      <c r="G30" s="15" t="s">
        <v>98</v>
      </c>
      <c r="H30" s="40" t="s">
        <v>516</v>
      </c>
      <c r="I30" s="40"/>
      <c r="J30" s="6" t="str">
        <f>IF(H30="","限7字",IF(LENB(H30)/2&lt;=7,"OK","超過"))</f>
        <v>OK</v>
      </c>
      <c r="K30" s="15" t="s">
        <v>98</v>
      </c>
      <c r="L30" s="40" t="s">
        <v>528</v>
      </c>
      <c r="M30" s="40"/>
      <c r="N30" s="6" t="str">
        <f>IF(L30="","限7字",IF(LENB(L30)/2&lt;=7,"OK","超過"))</f>
        <v>OK</v>
      </c>
      <c r="O30" s="17" t="s">
        <v>6</v>
      </c>
      <c r="P30" s="17"/>
      <c r="Q30" s="17"/>
      <c r="R30" s="17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</row>
    <row r="31" spans="1:33" ht="21.95" customHeight="1" x14ac:dyDescent="0.25">
      <c r="A31" s="38"/>
      <c r="B31" s="38"/>
      <c r="C31" s="15" t="s">
        <v>107</v>
      </c>
      <c r="D31" s="40" t="s">
        <v>535</v>
      </c>
      <c r="E31" s="40"/>
      <c r="F31" s="6" t="str">
        <f>IF(D31="","待填","OK")</f>
        <v>OK</v>
      </c>
      <c r="G31" s="15" t="s">
        <v>107</v>
      </c>
      <c r="H31" s="40" t="s">
        <v>535</v>
      </c>
      <c r="I31" s="40"/>
      <c r="J31" s="6" t="str">
        <f>IF(H31="","待填","OK")</f>
        <v>OK</v>
      </c>
      <c r="K31" s="15" t="s">
        <v>107</v>
      </c>
      <c r="L31" s="40" t="s">
        <v>535</v>
      </c>
      <c r="M31" s="40"/>
      <c r="N31" s="6" t="str">
        <f>IF(L31="","待填","OK")</f>
        <v>OK</v>
      </c>
      <c r="O31" s="17" t="s">
        <v>6</v>
      </c>
      <c r="P31" s="17"/>
      <c r="Q31" s="17"/>
      <c r="R31" s="17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</row>
    <row r="33" spans="1:33" ht="23.1" customHeight="1" x14ac:dyDescent="0.25">
      <c r="A33" s="38" t="s">
        <v>63</v>
      </c>
      <c r="B33" s="38" t="s">
        <v>114</v>
      </c>
      <c r="C33" s="37" t="s">
        <v>101</v>
      </c>
      <c r="D33" s="37"/>
      <c r="E33" s="37"/>
      <c r="F33" s="37"/>
      <c r="G33" s="37"/>
      <c r="H33" s="37"/>
      <c r="I33" s="37"/>
      <c r="J33" s="37"/>
      <c r="K33" s="18"/>
      <c r="L33" s="18"/>
      <c r="M33" s="18"/>
      <c r="N33" s="18"/>
      <c r="O33" s="18"/>
      <c r="P33" s="18"/>
      <c r="Q33" s="18"/>
      <c r="R33" s="18"/>
      <c r="T33" s="14" t="s">
        <v>73</v>
      </c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</row>
    <row r="34" spans="1:33" ht="21.95" customHeight="1" x14ac:dyDescent="0.25">
      <c r="A34" s="38"/>
      <c r="B34" s="38"/>
      <c r="C34" s="15" t="s">
        <v>115</v>
      </c>
      <c r="D34" s="39"/>
      <c r="E34" s="40"/>
      <c r="F34" s="6" t="str">
        <f>IF(D34="","限8字",IF(LENB(D34)/2&lt;=8,"OK","超過"))</f>
        <v>限8字</v>
      </c>
      <c r="G34" s="15" t="s">
        <v>96</v>
      </c>
      <c r="H34" s="41" t="s">
        <v>522</v>
      </c>
      <c r="I34" s="40"/>
      <c r="J34" s="6" t="str">
        <f>IF(H34="","待填","OK")</f>
        <v>OK</v>
      </c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</row>
    <row r="35" spans="1:33" ht="21.95" customHeight="1" x14ac:dyDescent="0.25">
      <c r="A35" s="38"/>
      <c r="B35" s="38"/>
      <c r="C35" s="15" t="s">
        <v>115</v>
      </c>
      <c r="D35" s="39"/>
      <c r="E35" s="40"/>
      <c r="F35" s="6" t="str">
        <f>IF(D35="","限8字",IF(LENB(D35)/2&lt;=8,"OK","超過"))</f>
        <v>限8字</v>
      </c>
      <c r="G35" s="15" t="s">
        <v>116</v>
      </c>
      <c r="H35" s="39" t="s">
        <v>538</v>
      </c>
      <c r="I35" s="40"/>
      <c r="J35" s="6" t="str">
        <f>IF(H35="","限10字",IF(LENB(H35)/2&lt;=10,"OK","超過"))</f>
        <v>OK</v>
      </c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</row>
    <row r="36" spans="1:33" ht="21.95" customHeight="1" x14ac:dyDescent="0.25">
      <c r="A36" s="38"/>
      <c r="B36" s="38"/>
      <c r="C36" s="15" t="s">
        <v>117</v>
      </c>
      <c r="D36" s="47" t="s">
        <v>539</v>
      </c>
      <c r="E36" s="44"/>
      <c r="F36" s="6" t="str">
        <f>IF(D36="","待填",IF(ISNUMBER(SEARCH(".",D36)),"OK","記得加副檔名"))</f>
        <v>OK</v>
      </c>
      <c r="G36" s="15" t="s">
        <v>107</v>
      </c>
      <c r="H36" s="40" t="s">
        <v>535</v>
      </c>
      <c r="I36" s="40"/>
      <c r="J36" s="6" t="str">
        <f>IF(H36="","待填","OK")</f>
        <v>OK</v>
      </c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</row>
    <row r="38" spans="1:33" ht="23.1" customHeight="1" x14ac:dyDescent="0.25">
      <c r="A38" s="38" t="s">
        <v>63</v>
      </c>
      <c r="B38" s="38" t="s">
        <v>118</v>
      </c>
      <c r="C38" s="37" t="s">
        <v>101</v>
      </c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T38" s="14" t="s">
        <v>77</v>
      </c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</row>
    <row r="39" spans="1:33" ht="21.95" customHeight="1" x14ac:dyDescent="0.25">
      <c r="A39" s="38"/>
      <c r="B39" s="38"/>
      <c r="C39" s="19" t="s">
        <v>119</v>
      </c>
      <c r="D39" s="42" t="s">
        <v>112</v>
      </c>
      <c r="E39" s="42"/>
      <c r="F39" s="42"/>
      <c r="G39" s="42"/>
      <c r="H39" s="42"/>
      <c r="I39" s="42" t="s">
        <v>111</v>
      </c>
      <c r="J39" s="42"/>
      <c r="K39" s="42"/>
      <c r="L39" s="42"/>
      <c r="M39" s="42"/>
      <c r="N39" s="42" t="s">
        <v>110</v>
      </c>
      <c r="O39" s="42"/>
      <c r="P39" s="42"/>
      <c r="Q39" s="42"/>
      <c r="R39" s="42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</row>
    <row r="40" spans="1:33" ht="21.95" customHeight="1" x14ac:dyDescent="0.25">
      <c r="A40" s="38"/>
      <c r="B40" s="38"/>
      <c r="C40" s="15" t="s">
        <v>117</v>
      </c>
      <c r="D40" s="43" t="s">
        <v>540</v>
      </c>
      <c r="E40" s="44"/>
      <c r="F40" s="44"/>
      <c r="G40" s="6" t="str">
        <f>IF(D40="","待填",IF(ISNUMBER(SEARCH(".",D40)),"OK","記得加副檔名"))</f>
        <v>OK</v>
      </c>
      <c r="H40" s="15" t="s">
        <v>102</v>
      </c>
      <c r="I40" s="39" t="s">
        <v>561</v>
      </c>
      <c r="J40" s="40"/>
      <c r="K40" s="40"/>
      <c r="L40" s="6" t="str">
        <f>IF(I40="","限6字",IF(LENB(I40)/2&lt;=6,"OK","超過"))</f>
        <v>OK</v>
      </c>
      <c r="M40" s="15" t="s">
        <v>102</v>
      </c>
      <c r="N40" s="39" t="s">
        <v>561</v>
      </c>
      <c r="O40" s="40"/>
      <c r="P40" s="40"/>
      <c r="Q40" s="40"/>
      <c r="R40" s="6" t="str">
        <f>IF(N40="","限6字",IF(LENB(N40)/2&lt;=6,"OK","超過"))</f>
        <v>OK</v>
      </c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</row>
    <row r="41" spans="1:33" ht="21.95" customHeight="1" x14ac:dyDescent="0.25">
      <c r="A41" s="38"/>
      <c r="B41" s="38"/>
      <c r="C41" s="17"/>
      <c r="D41" s="17"/>
      <c r="E41" s="17"/>
      <c r="F41" s="17"/>
      <c r="G41" s="17"/>
      <c r="H41" s="15" t="s">
        <v>116</v>
      </c>
      <c r="I41" s="45" t="s">
        <v>562</v>
      </c>
      <c r="J41" s="46"/>
      <c r="K41" s="46"/>
      <c r="L41" s="6" t="str">
        <f>IF(I41="","限4字",IF(LENB(I41)/2&lt;=4,"OK","超過"))</f>
        <v>OK</v>
      </c>
      <c r="M41" s="15" t="s">
        <v>116</v>
      </c>
      <c r="N41" s="45" t="s">
        <v>541</v>
      </c>
      <c r="O41" s="46"/>
      <c r="P41" s="46"/>
      <c r="Q41" s="46"/>
      <c r="R41" s="6" t="str">
        <f>IF(N41="","限4字",IF(LENB(N41)/2&lt;=4,"OK","超過"))</f>
        <v>OK</v>
      </c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</row>
    <row r="42" spans="1:33" ht="21.95" customHeight="1" x14ac:dyDescent="0.25">
      <c r="A42" s="38"/>
      <c r="B42" s="38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5" t="s">
        <v>96</v>
      </c>
      <c r="N42" s="41" t="s">
        <v>536</v>
      </c>
      <c r="O42" s="40"/>
      <c r="P42" s="40"/>
      <c r="Q42" s="40"/>
      <c r="R42" s="6" t="str">
        <f>IF(N42="","待填","OK")</f>
        <v>OK</v>
      </c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spans="1:33" ht="21.95" customHeight="1" x14ac:dyDescent="0.25">
      <c r="A43" s="38"/>
      <c r="B43" s="38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5" t="s">
        <v>107</v>
      </c>
      <c r="N43" s="40" t="s">
        <v>312</v>
      </c>
      <c r="O43" s="40"/>
      <c r="P43" s="40"/>
      <c r="Q43" s="40"/>
      <c r="R43" s="6" t="str">
        <f>IF(N43="","待填","OK")</f>
        <v>OK</v>
      </c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</row>
    <row r="45" spans="1:33" ht="23.1" customHeight="1" x14ac:dyDescent="0.25">
      <c r="A45" s="38" t="s">
        <v>63</v>
      </c>
      <c r="B45" s="38" t="s">
        <v>120</v>
      </c>
      <c r="C45" s="37" t="s">
        <v>101</v>
      </c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T45" s="14" t="s">
        <v>81</v>
      </c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</row>
    <row r="46" spans="1:33" ht="21.95" customHeight="1" x14ac:dyDescent="0.25">
      <c r="A46" s="38"/>
      <c r="B46" s="38"/>
      <c r="C46" s="15" t="s">
        <v>121</v>
      </c>
      <c r="D46" s="39" t="s">
        <v>542</v>
      </c>
      <c r="E46" s="40"/>
      <c r="F46" s="40"/>
      <c r="G46" s="6" t="str">
        <f>IF(D46="","限4字",IF(LENB(D46)/2&lt;=4,"OK","超過"))</f>
        <v>OK</v>
      </c>
      <c r="H46" s="15" t="s">
        <v>122</v>
      </c>
      <c r="I46" s="41" t="s">
        <v>546</v>
      </c>
      <c r="J46" s="40"/>
      <c r="K46" s="40"/>
      <c r="L46" s="6" t="str">
        <f>IF(I46="","限9字",IF(LENB(I46)/2&lt;=9,"OK","超過"))</f>
        <v>OK</v>
      </c>
      <c r="M46" s="15" t="s">
        <v>122</v>
      </c>
      <c r="N46" s="41" t="s">
        <v>545</v>
      </c>
      <c r="O46" s="40"/>
      <c r="P46" s="40"/>
      <c r="Q46" s="40"/>
      <c r="R46" s="6" t="str">
        <f>IF(N46="","限9字",IF(LENB(N46)/2&lt;=9,"OK","超過"))</f>
        <v>OK</v>
      </c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</row>
    <row r="47" spans="1:33" ht="21.95" customHeight="1" x14ac:dyDescent="0.25">
      <c r="A47" s="38"/>
      <c r="B47" s="38"/>
      <c r="C47" s="15" t="s">
        <v>121</v>
      </c>
      <c r="D47" s="39" t="s">
        <v>543</v>
      </c>
      <c r="E47" s="40"/>
      <c r="F47" s="40"/>
      <c r="G47" s="6" t="str">
        <f>IF(D47="","限4字",IF(LENB(D47)/2&lt;=4,"OK","超過"))</f>
        <v>OK</v>
      </c>
      <c r="H47" s="15" t="s">
        <v>122</v>
      </c>
      <c r="I47" s="41" t="s">
        <v>547</v>
      </c>
      <c r="J47" s="40"/>
      <c r="K47" s="40"/>
      <c r="L47" s="6" t="str">
        <f>IF(I47="","限9字",IF(LENB(I47)/2&lt;=9,"OK","超過"))</f>
        <v>OK</v>
      </c>
      <c r="M47" s="15" t="s">
        <v>122</v>
      </c>
      <c r="N47" s="41" t="s">
        <v>548</v>
      </c>
      <c r="O47" s="40"/>
      <c r="P47" s="40"/>
      <c r="Q47" s="40"/>
      <c r="R47" s="6" t="str">
        <f>IF(N47="","限9字",IF(LENB(N47)/2&lt;=9,"OK","超過"))</f>
        <v>OK</v>
      </c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</row>
    <row r="48" spans="1:33" ht="21.95" customHeight="1" x14ac:dyDescent="0.25">
      <c r="A48" s="38"/>
      <c r="B48" s="38"/>
      <c r="C48" s="15" t="s">
        <v>121</v>
      </c>
      <c r="D48" s="39" t="s">
        <v>544</v>
      </c>
      <c r="E48" s="40"/>
      <c r="F48" s="40"/>
      <c r="G48" s="6" t="str">
        <f>IF(D48="","限4字",IF(LENB(D48)/2&lt;=4,"OK","超過"))</f>
        <v>OK</v>
      </c>
      <c r="H48" s="15" t="s">
        <v>122</v>
      </c>
      <c r="I48" s="39" t="s">
        <v>549</v>
      </c>
      <c r="J48" s="40"/>
      <c r="K48" s="40"/>
      <c r="L48" s="6" t="str">
        <f>IF(I48="","限9字",IF(LENB(I48)/2&lt;=9,"OK","超過"))</f>
        <v>OK</v>
      </c>
      <c r="M48" s="15" t="s">
        <v>122</v>
      </c>
      <c r="N48" s="39" t="s">
        <v>550</v>
      </c>
      <c r="O48" s="40"/>
      <c r="P48" s="40"/>
      <c r="Q48" s="40"/>
      <c r="R48" s="6" t="str">
        <f>IF(N48="","限9字",IF(LENB(N48)/2&lt;=9,"OK","超過"))</f>
        <v>OK</v>
      </c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</row>
    <row r="49" spans="1:33" ht="21.95" customHeight="1" x14ac:dyDescent="0.25">
      <c r="A49" s="38"/>
      <c r="B49" s="38"/>
      <c r="C49" s="15" t="s">
        <v>121</v>
      </c>
      <c r="D49" s="40" t="s">
        <v>6</v>
      </c>
      <c r="E49" s="40"/>
      <c r="F49" s="40"/>
      <c r="G49" s="6" t="str">
        <f>IF(D49="","限4字",IF(LENB(D49)/2&lt;=4,"OK","超過"))</f>
        <v>限4字</v>
      </c>
      <c r="H49" s="15" t="s">
        <v>122</v>
      </c>
      <c r="I49" s="40" t="s">
        <v>6</v>
      </c>
      <c r="J49" s="40"/>
      <c r="K49" s="40"/>
      <c r="L49" s="6" t="str">
        <f>IF(I49="","限9字",IF(LENB(I49)/2&lt;=9,"OK","超過"))</f>
        <v>限9字</v>
      </c>
      <c r="M49" s="15" t="s">
        <v>122</v>
      </c>
      <c r="N49" s="40" t="s">
        <v>6</v>
      </c>
      <c r="O49" s="40"/>
      <c r="P49" s="40"/>
      <c r="Q49" s="40"/>
      <c r="R49" s="6" t="str">
        <f>IF(N49="","限9字",IF(LENB(N49)/2&lt;=9,"OK","超過"))</f>
        <v>限9字</v>
      </c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</row>
    <row r="50" spans="1:33" ht="21.95" customHeight="1" x14ac:dyDescent="0.25">
      <c r="A50" s="38"/>
      <c r="B50" s="38"/>
      <c r="C50" s="15" t="s">
        <v>121</v>
      </c>
      <c r="D50" s="40" t="s">
        <v>6</v>
      </c>
      <c r="E50" s="40"/>
      <c r="F50" s="40"/>
      <c r="G50" s="6" t="str">
        <f>IF(D50="","限4字",IF(LENB(D50)/2&lt;=4,"OK","超過"))</f>
        <v>限4字</v>
      </c>
      <c r="H50" s="15" t="s">
        <v>122</v>
      </c>
      <c r="I50" s="40" t="s">
        <v>6</v>
      </c>
      <c r="J50" s="40"/>
      <c r="K50" s="40"/>
      <c r="L50" s="6" t="str">
        <f>IF(I50="","限9字",IF(LENB(I50)/2&lt;=9,"OK","超過"))</f>
        <v>限9字</v>
      </c>
      <c r="M50" s="15" t="s">
        <v>122</v>
      </c>
      <c r="N50" s="40" t="s">
        <v>6</v>
      </c>
      <c r="O50" s="40"/>
      <c r="P50" s="40"/>
      <c r="Q50" s="40"/>
      <c r="R50" s="6" t="str">
        <f>IF(N50="","限9字",IF(LENB(N50)/2&lt;=9,"OK","超過"))</f>
        <v>限9字</v>
      </c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</row>
    <row r="52" spans="1:33" ht="21.95" customHeight="1" x14ac:dyDescent="0.25">
      <c r="A52" s="16"/>
      <c r="B52" s="16"/>
      <c r="C52" s="35" t="s">
        <v>123</v>
      </c>
      <c r="D52" s="35"/>
      <c r="E52" s="35"/>
      <c r="F52" s="35"/>
      <c r="G52" s="35"/>
      <c r="H52" s="35" t="s">
        <v>124</v>
      </c>
      <c r="I52" s="35"/>
      <c r="J52" s="35"/>
      <c r="K52" s="35"/>
      <c r="L52" s="35"/>
      <c r="M52" s="35" t="s">
        <v>125</v>
      </c>
      <c r="N52" s="35"/>
      <c r="O52" s="35"/>
      <c r="P52" s="35"/>
      <c r="Q52" s="35"/>
      <c r="R52" s="35" t="s">
        <v>126</v>
      </c>
      <c r="S52" s="35"/>
      <c r="T52" s="35"/>
      <c r="U52" s="35"/>
      <c r="V52" s="35"/>
      <c r="W52" s="35"/>
      <c r="X52" s="35"/>
      <c r="Y52" s="35"/>
      <c r="Z52" s="35" t="s">
        <v>127</v>
      </c>
      <c r="AA52" s="35"/>
      <c r="AB52" s="35"/>
      <c r="AC52" s="35"/>
      <c r="AD52" s="35"/>
      <c r="AE52" s="35"/>
      <c r="AF52" s="35"/>
      <c r="AG52" s="35"/>
    </row>
    <row r="53" spans="1:33" ht="30" customHeight="1" x14ac:dyDescent="0.25">
      <c r="A53" s="31" t="s">
        <v>128</v>
      </c>
      <c r="B53" s="32" t="s">
        <v>129</v>
      </c>
      <c r="C53" s="25" t="s">
        <v>130</v>
      </c>
      <c r="D53" s="20" t="s">
        <v>131</v>
      </c>
      <c r="E53" s="36" t="s">
        <v>132</v>
      </c>
      <c r="F53" s="36"/>
      <c r="G53" s="36"/>
      <c r="H53" s="25" t="s">
        <v>130</v>
      </c>
      <c r="I53" s="20" t="s">
        <v>131</v>
      </c>
      <c r="J53" s="33" t="s">
        <v>133</v>
      </c>
      <c r="K53" s="33"/>
      <c r="L53" s="33"/>
      <c r="M53" s="25" t="s">
        <v>130</v>
      </c>
      <c r="N53" s="20" t="s">
        <v>131</v>
      </c>
      <c r="O53" s="24" t="s">
        <v>134</v>
      </c>
      <c r="P53" s="24"/>
      <c r="Q53" s="24"/>
      <c r="R53" s="25" t="s">
        <v>130</v>
      </c>
      <c r="S53" s="20" t="s">
        <v>131</v>
      </c>
      <c r="T53" s="24" t="s">
        <v>134</v>
      </c>
      <c r="U53" s="24"/>
      <c r="V53" s="24"/>
      <c r="W53" s="24"/>
      <c r="X53" s="24"/>
      <c r="Y53" s="24"/>
      <c r="Z53" s="25" t="s">
        <v>130</v>
      </c>
      <c r="AA53" s="20" t="s">
        <v>131</v>
      </c>
      <c r="AB53" s="24" t="s">
        <v>134</v>
      </c>
      <c r="AC53" s="24"/>
      <c r="AD53" s="24"/>
      <c r="AE53" s="24"/>
      <c r="AF53" s="24"/>
      <c r="AG53" s="24"/>
    </row>
    <row r="54" spans="1:33" ht="30" customHeight="1" x14ac:dyDescent="0.25">
      <c r="A54" s="31"/>
      <c r="B54" s="32"/>
      <c r="C54" s="25"/>
      <c r="D54" s="21" t="s">
        <v>135</v>
      </c>
      <c r="E54" s="33" t="s">
        <v>136</v>
      </c>
      <c r="F54" s="33"/>
      <c r="G54" s="33"/>
      <c r="H54" s="25"/>
      <c r="I54" s="21" t="s">
        <v>135</v>
      </c>
      <c r="J54" s="34" t="s">
        <v>522</v>
      </c>
      <c r="K54" s="33"/>
      <c r="L54" s="33"/>
      <c r="M54" s="25"/>
      <c r="N54" s="21" t="s">
        <v>135</v>
      </c>
      <c r="O54" s="23" t="s">
        <v>551</v>
      </c>
      <c r="P54" s="24"/>
      <c r="Q54" s="24"/>
      <c r="R54" s="25"/>
      <c r="S54" s="21" t="s">
        <v>135</v>
      </c>
      <c r="T54" s="23" t="s">
        <v>552</v>
      </c>
      <c r="U54" s="24"/>
      <c r="V54" s="24"/>
      <c r="W54" s="24"/>
      <c r="X54" s="24"/>
      <c r="Y54" s="24"/>
      <c r="Z54" s="25"/>
      <c r="AA54" s="21" t="s">
        <v>135</v>
      </c>
      <c r="AB54" s="23" t="s">
        <v>553</v>
      </c>
      <c r="AC54" s="24"/>
      <c r="AD54" s="24"/>
      <c r="AE54" s="24"/>
      <c r="AF54" s="24"/>
      <c r="AG54" s="24"/>
    </row>
    <row r="55" spans="1:33" ht="30" customHeight="1" x14ac:dyDescent="0.25">
      <c r="A55" s="31"/>
      <c r="B55" s="32"/>
      <c r="C55" s="26" t="s">
        <v>137</v>
      </c>
      <c r="D55" s="26"/>
      <c r="E55" s="26"/>
      <c r="F55" s="26"/>
      <c r="G55" s="22">
        <f>IF(OR(C55="",C55="文案5字內"),"",LENB(C55)/2)</f>
        <v>3</v>
      </c>
      <c r="H55" s="27" t="s">
        <v>557</v>
      </c>
      <c r="I55" s="28"/>
      <c r="J55" s="28"/>
      <c r="K55" s="28"/>
      <c r="L55" s="22">
        <f>IF(OR(H55="",H55="文案5字內"),"",LENB(H55)/2)</f>
        <v>2.5</v>
      </c>
      <c r="M55" s="29" t="s">
        <v>556</v>
      </c>
      <c r="N55" s="30"/>
      <c r="O55" s="30"/>
      <c r="P55" s="30"/>
      <c r="Q55" s="22">
        <f>IF(OR(M55="",M55="(需要再填即可)"),"",LENB(M55)/2)</f>
        <v>2</v>
      </c>
      <c r="R55" s="29" t="s">
        <v>555</v>
      </c>
      <c r="S55" s="30"/>
      <c r="T55" s="30"/>
      <c r="U55" s="30"/>
      <c r="V55" s="30"/>
      <c r="W55" s="30"/>
      <c r="X55" s="30"/>
      <c r="Y55" s="22">
        <f>IF(OR(R55="",R55="(需要再填即可)"),"",LENB(R55)/2)</f>
        <v>4.5</v>
      </c>
      <c r="Z55" s="29" t="s">
        <v>554</v>
      </c>
      <c r="AA55" s="30"/>
      <c r="AB55" s="30"/>
      <c r="AC55" s="30"/>
      <c r="AD55" s="30"/>
      <c r="AE55" s="30"/>
      <c r="AF55" s="30"/>
      <c r="AG55" s="22">
        <f>IF(OR(Z55="",Z55="(需要再填即可)"),"",LENB(Z55)/2)</f>
        <v>2.5</v>
      </c>
    </row>
  </sheetData>
  <sheetProtection sheet="1" autoFilter="0"/>
  <autoFilter ref="A1:AG1" xr:uid="{00000000-0009-0000-0000-000001000000}"/>
  <mergeCells count="154">
    <mergeCell ref="C1:R1"/>
    <mergeCell ref="T1:AG1"/>
    <mergeCell ref="A1:A2"/>
    <mergeCell ref="B1:B2"/>
    <mergeCell ref="C2:R2"/>
    <mergeCell ref="T2:AG2"/>
    <mergeCell ref="C3:F3"/>
    <mergeCell ref="G3:J3"/>
    <mergeCell ref="K3:N3"/>
    <mergeCell ref="O3:R3"/>
    <mergeCell ref="T3:V3"/>
    <mergeCell ref="W3:Z3"/>
    <mergeCell ref="AA3:AC3"/>
    <mergeCell ref="AD3:AG3"/>
    <mergeCell ref="A3:A9"/>
    <mergeCell ref="B3:B9"/>
    <mergeCell ref="D4:E4"/>
    <mergeCell ref="H4:I4"/>
    <mergeCell ref="L4:M4"/>
    <mergeCell ref="P4:Q4"/>
    <mergeCell ref="D5:E5"/>
    <mergeCell ref="H5:I5"/>
    <mergeCell ref="L5:M5"/>
    <mergeCell ref="P5:Q5"/>
    <mergeCell ref="D6:E6"/>
    <mergeCell ref="H6:I6"/>
    <mergeCell ref="L6:M6"/>
    <mergeCell ref="P6:Q6"/>
    <mergeCell ref="D7:E7"/>
    <mergeCell ref="H7:I7"/>
    <mergeCell ref="L7:M7"/>
    <mergeCell ref="P7:Q7"/>
    <mergeCell ref="C11:J11"/>
    <mergeCell ref="A11:A18"/>
    <mergeCell ref="B11:B18"/>
    <mergeCell ref="D12:E12"/>
    <mergeCell ref="H12:I12"/>
    <mergeCell ref="D13:E13"/>
    <mergeCell ref="H13:I13"/>
    <mergeCell ref="D14:E14"/>
    <mergeCell ref="H14:I14"/>
    <mergeCell ref="D15:E15"/>
    <mergeCell ref="H15:I15"/>
    <mergeCell ref="H16:I16"/>
    <mergeCell ref="H17:I17"/>
    <mergeCell ref="H18:I18"/>
    <mergeCell ref="C20:F20"/>
    <mergeCell ref="G20:J20"/>
    <mergeCell ref="K20:N20"/>
    <mergeCell ref="O20:R20"/>
    <mergeCell ref="T20:V20"/>
    <mergeCell ref="W20:Z20"/>
    <mergeCell ref="AA20:AC20"/>
    <mergeCell ref="AD20:AG20"/>
    <mergeCell ref="A20:A26"/>
    <mergeCell ref="B20:B26"/>
    <mergeCell ref="D21:E21"/>
    <mergeCell ref="H21:I21"/>
    <mergeCell ref="L21:M21"/>
    <mergeCell ref="P21:Q21"/>
    <mergeCell ref="D22:E22"/>
    <mergeCell ref="H22:I22"/>
    <mergeCell ref="L22:M22"/>
    <mergeCell ref="P22:Q22"/>
    <mergeCell ref="D23:E23"/>
    <mergeCell ref="H23:I23"/>
    <mergeCell ref="L23:M23"/>
    <mergeCell ref="P23:Q23"/>
    <mergeCell ref="D24:E24"/>
    <mergeCell ref="H24:I24"/>
    <mergeCell ref="L24:M24"/>
    <mergeCell ref="P24:Q24"/>
    <mergeCell ref="C28:F28"/>
    <mergeCell ref="G28:J28"/>
    <mergeCell ref="K28:N28"/>
    <mergeCell ref="O28:R28"/>
    <mergeCell ref="A28:A31"/>
    <mergeCell ref="B28:B31"/>
    <mergeCell ref="D29:E29"/>
    <mergeCell ref="H29:I29"/>
    <mergeCell ref="L29:M29"/>
    <mergeCell ref="D30:E30"/>
    <mergeCell ref="H30:I30"/>
    <mergeCell ref="L30:M30"/>
    <mergeCell ref="D31:E31"/>
    <mergeCell ref="H31:I31"/>
    <mergeCell ref="L31:M31"/>
    <mergeCell ref="C33:J33"/>
    <mergeCell ref="A33:A36"/>
    <mergeCell ref="B33:B36"/>
    <mergeCell ref="D34:E34"/>
    <mergeCell ref="H34:I34"/>
    <mergeCell ref="D35:E35"/>
    <mergeCell ref="H35:I35"/>
    <mergeCell ref="D36:E36"/>
    <mergeCell ref="H36:I36"/>
    <mergeCell ref="C38:R38"/>
    <mergeCell ref="A38:A43"/>
    <mergeCell ref="B38:B43"/>
    <mergeCell ref="D39:H39"/>
    <mergeCell ref="I39:M39"/>
    <mergeCell ref="N39:R39"/>
    <mergeCell ref="D40:F40"/>
    <mergeCell ref="I40:K40"/>
    <mergeCell ref="N40:Q40"/>
    <mergeCell ref="I41:K41"/>
    <mergeCell ref="N41:Q41"/>
    <mergeCell ref="N42:Q42"/>
    <mergeCell ref="N43:Q43"/>
    <mergeCell ref="C45:R45"/>
    <mergeCell ref="A45:A50"/>
    <mergeCell ref="B45:B50"/>
    <mergeCell ref="D46:F46"/>
    <mergeCell ref="I46:K46"/>
    <mergeCell ref="N46:Q46"/>
    <mergeCell ref="D47:F47"/>
    <mergeCell ref="I47:K47"/>
    <mergeCell ref="N47:Q47"/>
    <mergeCell ref="D48:F48"/>
    <mergeCell ref="I48:K48"/>
    <mergeCell ref="N48:Q48"/>
    <mergeCell ref="D49:F49"/>
    <mergeCell ref="I49:K49"/>
    <mergeCell ref="N49:Q49"/>
    <mergeCell ref="D50:F50"/>
    <mergeCell ref="I50:K50"/>
    <mergeCell ref="N50:Q50"/>
    <mergeCell ref="C52:G52"/>
    <mergeCell ref="H52:L52"/>
    <mergeCell ref="M52:Q52"/>
    <mergeCell ref="R52:Y52"/>
    <mergeCell ref="Z52:AG52"/>
    <mergeCell ref="E53:G53"/>
    <mergeCell ref="J53:L53"/>
    <mergeCell ref="O53:Q53"/>
    <mergeCell ref="T53:Y53"/>
    <mergeCell ref="AB53:AG53"/>
    <mergeCell ref="T54:Y54"/>
    <mergeCell ref="Z53:Z54"/>
    <mergeCell ref="AB54:AG54"/>
    <mergeCell ref="C55:F55"/>
    <mergeCell ref="H55:K55"/>
    <mergeCell ref="M55:P55"/>
    <mergeCell ref="R55:X55"/>
    <mergeCell ref="Z55:AF55"/>
    <mergeCell ref="A53:A55"/>
    <mergeCell ref="B53:B55"/>
    <mergeCell ref="C53:C54"/>
    <mergeCell ref="E54:G54"/>
    <mergeCell ref="H53:H54"/>
    <mergeCell ref="J54:L54"/>
    <mergeCell ref="M53:M54"/>
    <mergeCell ref="O54:Q54"/>
    <mergeCell ref="R53:R54"/>
  </mergeCells>
  <phoneticPr fontId="20" type="noConversion"/>
  <conditionalFormatting sqref="C55">
    <cfRule type="expression" dxfId="135" priority="370">
      <formula>AND(NOT(OR(C55="",C55="文案5字內")),LENB(C55)/2&gt;5)</formula>
    </cfRule>
  </conditionalFormatting>
  <conditionalFormatting sqref="D6">
    <cfRule type="expression" dxfId="134" priority="9">
      <formula>LENB(D6)/2&gt;5</formula>
    </cfRule>
  </conditionalFormatting>
  <conditionalFormatting sqref="D7">
    <cfRule type="expression" dxfId="133" priority="14">
      <formula>LENB(D7)/2&gt;6</formula>
    </cfRule>
  </conditionalFormatting>
  <conditionalFormatting sqref="D12">
    <cfRule type="expression" dxfId="132" priority="73">
      <formula>LENB(D12)/2&gt;7</formula>
    </cfRule>
  </conditionalFormatting>
  <conditionalFormatting sqref="D13:D14">
    <cfRule type="expression" dxfId="131" priority="82">
      <formula>LENB(D13)/2&gt;8</formula>
    </cfRule>
  </conditionalFormatting>
  <conditionalFormatting sqref="D15">
    <cfRule type="expression" dxfId="130" priority="101">
      <formula>LENB(D15)/2&gt;9</formula>
    </cfRule>
  </conditionalFormatting>
  <conditionalFormatting sqref="D23">
    <cfRule type="expression" dxfId="129" priority="132">
      <formula>LENB(D23)/2&gt;5</formula>
    </cfRule>
  </conditionalFormatting>
  <conditionalFormatting sqref="D24">
    <cfRule type="expression" dxfId="128" priority="137">
      <formula>LENB(D24)/2&gt;6</formula>
    </cfRule>
  </conditionalFormatting>
  <conditionalFormatting sqref="D30">
    <cfRule type="expression" dxfId="127" priority="200">
      <formula>LENB(D30)/2&gt;7</formula>
    </cfRule>
  </conditionalFormatting>
  <conditionalFormatting sqref="D34:D35">
    <cfRule type="expression" dxfId="126" priority="235">
      <formula>LENB(D34)/2&gt;8</formula>
    </cfRule>
  </conditionalFormatting>
  <conditionalFormatting sqref="D46:D50">
    <cfRule type="expression" dxfId="125" priority="294">
      <formula>LENB(D46)/2&gt;4</formula>
    </cfRule>
  </conditionalFormatting>
  <conditionalFormatting sqref="E53:E54">
    <cfRule type="expression" dxfId="124" priority="369">
      <formula>AND(NOT(OR(E53="",E53="(輸入許願的Icon，例：房子)")),NOT(OR(E54="",E54="(輸入圖檔名，例：三星.png)")))</formula>
    </cfRule>
  </conditionalFormatting>
  <conditionalFormatting sqref="F4:F7">
    <cfRule type="expression" dxfId="123" priority="2">
      <formula>F4="禁用語"</formula>
    </cfRule>
    <cfRule type="expression" dxfId="122" priority="3">
      <formula>F4="記得加副檔名"</formula>
    </cfRule>
    <cfRule type="expression" dxfId="121" priority="4">
      <formula>F4="OK"</formula>
    </cfRule>
    <cfRule type="expression" dxfId="120" priority="1">
      <formula>F4="超過"</formula>
    </cfRule>
  </conditionalFormatting>
  <conditionalFormatting sqref="F12:F15">
    <cfRule type="expression" dxfId="119" priority="74">
      <formula>F12="超過"</formula>
    </cfRule>
    <cfRule type="expression" dxfId="118" priority="77">
      <formula>F12="OK"</formula>
    </cfRule>
    <cfRule type="expression" dxfId="117" priority="76">
      <formula>F12="記得加副檔名"</formula>
    </cfRule>
    <cfRule type="expression" dxfId="116" priority="75">
      <formula>F12="禁用語"</formula>
    </cfRule>
  </conditionalFormatting>
  <conditionalFormatting sqref="F21:F24">
    <cfRule type="expression" dxfId="115" priority="125">
      <formula>F21="禁用語"</formula>
    </cfRule>
    <cfRule type="expression" dxfId="114" priority="127">
      <formula>F21="OK"</formula>
    </cfRule>
    <cfRule type="expression" dxfId="113" priority="126">
      <formula>F21="記得加副檔名"</formula>
    </cfRule>
    <cfRule type="expression" dxfId="112" priority="124">
      <formula>F21="超過"</formula>
    </cfRule>
  </conditionalFormatting>
  <conditionalFormatting sqref="F29:F31">
    <cfRule type="expression" dxfId="111" priority="196">
      <formula>F29="超過"</formula>
    </cfRule>
    <cfRule type="expression" dxfId="110" priority="197">
      <formula>F29="禁用語"</formula>
    </cfRule>
    <cfRule type="expression" dxfId="109" priority="198">
      <formula>F29="記得加副檔名"</formula>
    </cfRule>
    <cfRule type="expression" dxfId="108" priority="199">
      <formula>F29="OK"</formula>
    </cfRule>
  </conditionalFormatting>
  <conditionalFormatting sqref="F34:F36">
    <cfRule type="expression" dxfId="107" priority="236">
      <formula>F34="超過"</formula>
    </cfRule>
    <cfRule type="expression" dxfId="106" priority="238">
      <formula>F34="記得加副檔名"</formula>
    </cfRule>
    <cfRule type="expression" dxfId="105" priority="239">
      <formula>F34="OK"</formula>
    </cfRule>
    <cfRule type="expression" dxfId="104" priority="237">
      <formula>F34="禁用語"</formula>
    </cfRule>
  </conditionalFormatting>
  <conditionalFormatting sqref="G40">
    <cfRule type="expression" dxfId="103" priority="262">
      <formula>G40="超過"</formula>
    </cfRule>
    <cfRule type="expression" dxfId="102" priority="264">
      <formula>G40="記得加副檔名"</formula>
    </cfRule>
    <cfRule type="expression" dxfId="101" priority="263">
      <formula>G40="禁用語"</formula>
    </cfRule>
    <cfRule type="expression" dxfId="100" priority="265">
      <formula>G40="OK"</formula>
    </cfRule>
  </conditionalFormatting>
  <conditionalFormatting sqref="G46:G50">
    <cfRule type="expression" dxfId="99" priority="295">
      <formula>G46="超過"</formula>
    </cfRule>
    <cfRule type="expression" dxfId="98" priority="296">
      <formula>G46="禁用語"</formula>
    </cfRule>
    <cfRule type="expression" dxfId="97" priority="297">
      <formula>G46="記得加副檔名"</formula>
    </cfRule>
    <cfRule type="expression" dxfId="96" priority="298">
      <formula>G46="OK"</formula>
    </cfRule>
  </conditionalFormatting>
  <conditionalFormatting sqref="G55">
    <cfRule type="expression" dxfId="95" priority="372">
      <formula>AND(ISNUMBER(G55),G55&lt;=5)</formula>
    </cfRule>
    <cfRule type="expression" dxfId="94" priority="371">
      <formula>G55&gt;5</formula>
    </cfRule>
  </conditionalFormatting>
  <conditionalFormatting sqref="H6">
    <cfRule type="expression" dxfId="93" priority="27">
      <formula>LENB(H6)/2&gt;5</formula>
    </cfRule>
  </conditionalFormatting>
  <conditionalFormatting sqref="H7">
    <cfRule type="expression" dxfId="92" priority="32">
      <formula>LENB(H7)/2&gt;6</formula>
    </cfRule>
  </conditionalFormatting>
  <conditionalFormatting sqref="H14:H16">
    <cfRule type="expression" dxfId="91" priority="96">
      <formula>LENB(H14)/2&gt;5</formula>
    </cfRule>
  </conditionalFormatting>
  <conditionalFormatting sqref="H23">
    <cfRule type="expression" dxfId="90" priority="150">
      <formula>LENB(H23)/2&gt;5</formula>
    </cfRule>
  </conditionalFormatting>
  <conditionalFormatting sqref="H24">
    <cfRule type="expression" dxfId="89" priority="155">
      <formula>LENB(H24)/2&gt;6</formula>
    </cfRule>
  </conditionalFormatting>
  <conditionalFormatting sqref="H30">
    <cfRule type="expression" dxfId="88" priority="213">
      <formula>LENB(H30)/2&gt;7</formula>
    </cfRule>
  </conditionalFormatting>
  <conditionalFormatting sqref="H35">
    <cfRule type="expression" dxfId="87" priority="249">
      <formula>LENB(H35)/2&gt;10</formula>
    </cfRule>
  </conditionalFormatting>
  <conditionalFormatting sqref="H55">
    <cfRule type="expression" dxfId="86" priority="374">
      <formula>AND(NOT(OR(H55="",H55="文案5字內")),LENB(H55)/2&gt;5)</formula>
    </cfRule>
  </conditionalFormatting>
  <conditionalFormatting sqref="I40">
    <cfRule type="expression" dxfId="85" priority="266">
      <formula>LENB(I40)/2&gt;6</formula>
    </cfRule>
  </conditionalFormatting>
  <conditionalFormatting sqref="I41">
    <cfRule type="expression" dxfId="84" priority="276">
      <formula>LENB(I41)/2&gt;4</formula>
    </cfRule>
  </conditionalFormatting>
  <conditionalFormatting sqref="I46:I50">
    <cfRule type="expression" dxfId="83" priority="299">
      <formula>LENB(I46)/2&gt;9</formula>
    </cfRule>
  </conditionalFormatting>
  <conditionalFormatting sqref="J4:J7">
    <cfRule type="expression" dxfId="82" priority="20">
      <formula>J4="禁用語"</formula>
    </cfRule>
    <cfRule type="expression" dxfId="81" priority="21">
      <formula>J4="記得加副檔名"</formula>
    </cfRule>
    <cfRule type="expression" dxfId="80" priority="22">
      <formula>J4="OK"</formula>
    </cfRule>
    <cfRule type="expression" dxfId="79" priority="19">
      <formula>J4="超過"</formula>
    </cfRule>
  </conditionalFormatting>
  <conditionalFormatting sqref="J12:J18">
    <cfRule type="expression" dxfId="78" priority="81">
      <formula>J12="OK"</formula>
    </cfRule>
    <cfRule type="expression" dxfId="77" priority="80">
      <formula>J12="記得加副檔名"</formula>
    </cfRule>
    <cfRule type="expression" dxfId="76" priority="79">
      <formula>J12="禁用語"</formula>
    </cfRule>
    <cfRule type="expression" dxfId="75" priority="78">
      <formula>J12="超過"</formula>
    </cfRule>
  </conditionalFormatting>
  <conditionalFormatting sqref="J21:J24">
    <cfRule type="expression" dxfId="74" priority="144">
      <formula>J21="記得加副檔名"</formula>
    </cfRule>
    <cfRule type="expression" dxfId="73" priority="142">
      <formula>J21="超過"</formula>
    </cfRule>
    <cfRule type="expression" dxfId="72" priority="143">
      <formula>J21="禁用語"</formula>
    </cfRule>
    <cfRule type="expression" dxfId="71" priority="145">
      <formula>J21="OK"</formula>
    </cfRule>
  </conditionalFormatting>
  <conditionalFormatting sqref="J29:J31">
    <cfRule type="expression" dxfId="70" priority="210">
      <formula>J29="禁用語"</formula>
    </cfRule>
    <cfRule type="expression" dxfId="69" priority="209">
      <formula>J29="超過"</formula>
    </cfRule>
    <cfRule type="expression" dxfId="68" priority="211">
      <formula>J29="記得加副檔名"</formula>
    </cfRule>
    <cfRule type="expression" dxfId="67" priority="212">
      <formula>J29="OK"</formula>
    </cfRule>
  </conditionalFormatting>
  <conditionalFormatting sqref="J34:J36">
    <cfRule type="expression" dxfId="66" priority="241">
      <formula>J34="禁用語"</formula>
    </cfRule>
    <cfRule type="expression" dxfId="65" priority="240">
      <formula>J34="超過"</formula>
    </cfRule>
    <cfRule type="expression" dxfId="64" priority="242">
      <formula>J34="記得加副檔名"</formula>
    </cfRule>
    <cfRule type="expression" dxfId="63" priority="243">
      <formula>J34="OK"</formula>
    </cfRule>
  </conditionalFormatting>
  <conditionalFormatting sqref="J53:J54">
    <cfRule type="expression" dxfId="62" priority="373">
      <formula>AND(NOT(OR(J53="",J53="(輸入許願的Icon，例：房子)")),NOT(OR(J54="",J54="(輸入圖檔名，例：三星.png)")))</formula>
    </cfRule>
  </conditionalFormatting>
  <conditionalFormatting sqref="L6">
    <cfRule type="expression" dxfId="61" priority="45">
      <formula>LENB(L6)/2&gt;5</formula>
    </cfRule>
  </conditionalFormatting>
  <conditionalFormatting sqref="L7">
    <cfRule type="expression" dxfId="60" priority="50">
      <formula>LENB(L7)/2&gt;6</formula>
    </cfRule>
  </conditionalFormatting>
  <conditionalFormatting sqref="L23">
    <cfRule type="expression" dxfId="59" priority="168">
      <formula>LENB(L23)/2&gt;5</formula>
    </cfRule>
  </conditionalFormatting>
  <conditionalFormatting sqref="L24">
    <cfRule type="expression" dxfId="58" priority="173">
      <formula>LENB(L24)/2&gt;6</formula>
    </cfRule>
  </conditionalFormatting>
  <conditionalFormatting sqref="L30">
    <cfRule type="expression" dxfId="57" priority="226">
      <formula>LENB(L30)/2&gt;7</formula>
    </cfRule>
  </conditionalFormatting>
  <conditionalFormatting sqref="L40:L41">
    <cfRule type="expression" dxfId="56" priority="268">
      <formula>L40="禁用語"</formula>
    </cfRule>
    <cfRule type="expression" dxfId="55" priority="269">
      <formula>L40="記得加副檔名"</formula>
    </cfRule>
    <cfRule type="expression" dxfId="54" priority="270">
      <formula>L40="OK"</formula>
    </cfRule>
    <cfRule type="expression" dxfId="53" priority="267">
      <formula>L40="超過"</formula>
    </cfRule>
  </conditionalFormatting>
  <conditionalFormatting sqref="L46:L50">
    <cfRule type="expression" dxfId="52" priority="300">
      <formula>L46="超過"</formula>
    </cfRule>
    <cfRule type="expression" dxfId="51" priority="301">
      <formula>L46="禁用語"</formula>
    </cfRule>
    <cfRule type="expression" dxfId="50" priority="302">
      <formula>L46="記得加副檔名"</formula>
    </cfRule>
    <cfRule type="expression" dxfId="49" priority="303">
      <formula>L46="OK"</formula>
    </cfRule>
  </conditionalFormatting>
  <conditionalFormatting sqref="L55">
    <cfRule type="expression" dxfId="48" priority="375">
      <formula>L55&gt;5</formula>
    </cfRule>
    <cfRule type="expression" dxfId="47" priority="376">
      <formula>AND(ISNUMBER(L55),L55&lt;=5)</formula>
    </cfRule>
  </conditionalFormatting>
  <conditionalFormatting sqref="M55">
    <cfRule type="expression" dxfId="46" priority="378">
      <formula>AND(NOT(OR(M55="",M55="(需要再填即可)")),LENB(M55)/2&gt;5)</formula>
    </cfRule>
  </conditionalFormatting>
  <conditionalFormatting sqref="N4:N7">
    <cfRule type="expression" dxfId="45" priority="38">
      <formula>N4="禁用語"</formula>
    </cfRule>
    <cfRule type="expression" dxfId="44" priority="37">
      <formula>N4="超過"</formula>
    </cfRule>
    <cfRule type="expression" dxfId="43" priority="40">
      <formula>N4="OK"</formula>
    </cfRule>
    <cfRule type="expression" dxfId="42" priority="39">
      <formula>N4="記得加副檔名"</formula>
    </cfRule>
  </conditionalFormatting>
  <conditionalFormatting sqref="N21:N24">
    <cfRule type="expression" dxfId="41" priority="162">
      <formula>N21="記得加副檔名"</formula>
    </cfRule>
    <cfRule type="expression" dxfId="40" priority="161">
      <formula>N21="禁用語"</formula>
    </cfRule>
    <cfRule type="expression" dxfId="39" priority="160">
      <formula>N21="超過"</formula>
    </cfRule>
    <cfRule type="expression" dxfId="38" priority="163">
      <formula>N21="OK"</formula>
    </cfRule>
  </conditionalFormatting>
  <conditionalFormatting sqref="N29:N31">
    <cfRule type="expression" dxfId="37" priority="225">
      <formula>N29="OK"</formula>
    </cfRule>
    <cfRule type="expression" dxfId="36" priority="224">
      <formula>N29="記得加副檔名"</formula>
    </cfRule>
    <cfRule type="expression" dxfId="35" priority="223">
      <formula>N29="禁用語"</formula>
    </cfRule>
    <cfRule type="expression" dxfId="34" priority="222">
      <formula>N29="超過"</formula>
    </cfRule>
  </conditionalFormatting>
  <conditionalFormatting sqref="N40">
    <cfRule type="expression" dxfId="33" priority="271">
      <formula>LENB(N40)/2&gt;6</formula>
    </cfRule>
  </conditionalFormatting>
  <conditionalFormatting sqref="N41">
    <cfRule type="expression" dxfId="32" priority="281">
      <formula>LENB(N41)/2&gt;4</formula>
    </cfRule>
  </conditionalFormatting>
  <conditionalFormatting sqref="N46:N50">
    <cfRule type="expression" dxfId="31" priority="304">
      <formula>LENB(N46)/2&gt;9</formula>
    </cfRule>
  </conditionalFormatting>
  <conditionalFormatting sqref="O53:O54">
    <cfRule type="expression" dxfId="30" priority="377">
      <formula>AND(NOT(OR(O53="",O53="(需要再填即可)")),NOT(OR(O54="",O54="(需要再填即可)")))</formula>
    </cfRule>
  </conditionalFormatting>
  <conditionalFormatting sqref="P6">
    <cfRule type="expression" dxfId="29" priority="63">
      <formula>LENB(P6)/2&gt;5</formula>
    </cfRule>
  </conditionalFormatting>
  <conditionalFormatting sqref="P7">
    <cfRule type="expression" dxfId="28" priority="68">
      <formula>LENB(P7)/2&gt;6</formula>
    </cfRule>
  </conditionalFormatting>
  <conditionalFormatting sqref="P23">
    <cfRule type="expression" dxfId="27" priority="186">
      <formula>LENB(P23)/2&gt;5</formula>
    </cfRule>
  </conditionalFormatting>
  <conditionalFormatting sqref="P24">
    <cfRule type="expression" dxfId="26" priority="191">
      <formula>LENB(P24)/2&gt;6</formula>
    </cfRule>
  </conditionalFormatting>
  <conditionalFormatting sqref="Q55">
    <cfRule type="expression" dxfId="25" priority="379">
      <formula>Q55&gt;5</formula>
    </cfRule>
    <cfRule type="expression" dxfId="24" priority="380">
      <formula>AND(ISNUMBER(Q55),Q55&lt;=5)</formula>
    </cfRule>
  </conditionalFormatting>
  <conditionalFormatting sqref="R4:R7">
    <cfRule type="expression" dxfId="23" priority="57">
      <formula>R4="記得加副檔名"</formula>
    </cfRule>
    <cfRule type="expression" dxfId="22" priority="58">
      <formula>R4="OK"</formula>
    </cfRule>
    <cfRule type="expression" dxfId="21" priority="56">
      <formula>R4="禁用語"</formula>
    </cfRule>
    <cfRule type="expression" dxfId="20" priority="55">
      <formula>R4="超過"</formula>
    </cfRule>
  </conditionalFormatting>
  <conditionalFormatting sqref="R21:R24">
    <cfRule type="expression" dxfId="19" priority="178">
      <formula>R21="超過"</formula>
    </cfRule>
    <cfRule type="expression" dxfId="18" priority="179">
      <formula>R21="禁用語"</formula>
    </cfRule>
    <cfRule type="expression" dxfId="17" priority="180">
      <formula>R21="記得加副檔名"</formula>
    </cfRule>
    <cfRule type="expression" dxfId="16" priority="181">
      <formula>R21="OK"</formula>
    </cfRule>
  </conditionalFormatting>
  <conditionalFormatting sqref="R40:R43">
    <cfRule type="expression" dxfId="15" priority="273">
      <formula>R40="禁用語"</formula>
    </cfRule>
    <cfRule type="expression" dxfId="14" priority="274">
      <formula>R40="記得加副檔名"</formula>
    </cfRule>
    <cfRule type="expression" dxfId="13" priority="275">
      <formula>R40="OK"</formula>
    </cfRule>
    <cfRule type="expression" dxfId="12" priority="272">
      <formula>R40="超過"</formula>
    </cfRule>
  </conditionalFormatting>
  <conditionalFormatting sqref="R46:R50">
    <cfRule type="expression" dxfId="11" priority="305">
      <formula>R46="超過"</formula>
    </cfRule>
    <cfRule type="expression" dxfId="10" priority="307">
      <formula>R46="記得加副檔名"</formula>
    </cfRule>
    <cfRule type="expression" dxfId="9" priority="308">
      <formula>R46="OK"</formula>
    </cfRule>
    <cfRule type="expression" dxfId="8" priority="306">
      <formula>R46="禁用語"</formula>
    </cfRule>
  </conditionalFormatting>
  <conditionalFormatting sqref="R55">
    <cfRule type="expression" dxfId="7" priority="382">
      <formula>AND(NOT(OR(R55="",R55="(需要再填即可)")),LENB(R55)/2&gt;5)</formula>
    </cfRule>
  </conditionalFormatting>
  <conditionalFormatting sqref="T53:T54">
    <cfRule type="expression" dxfId="6" priority="381">
      <formula>AND(NOT(OR(T53="",T53="(需要再填即可)")),NOT(OR(T54="",T54="(需要再填即可)")))</formula>
    </cfRule>
  </conditionalFormatting>
  <conditionalFormatting sqref="Y55">
    <cfRule type="expression" dxfId="5" priority="383">
      <formula>Y55&gt;5</formula>
    </cfRule>
    <cfRule type="expression" dxfId="4" priority="384">
      <formula>AND(ISNUMBER(Y55),Y55&lt;=5)</formula>
    </cfRule>
  </conditionalFormatting>
  <conditionalFormatting sqref="Z55">
    <cfRule type="expression" dxfId="3" priority="386">
      <formula>AND(NOT(OR(Z55="",Z55="(需要再填即可)")),LENB(Z55)/2&gt;5)</formula>
    </cfRule>
  </conditionalFormatting>
  <conditionalFormatting sqref="AB53:AB54">
    <cfRule type="expression" dxfId="2" priority="385">
      <formula>AND(NOT(OR(AB53="",AB53="(需要再填即可)")),NOT(OR(AB54="",AB54="(需要再填即可)")))</formula>
    </cfRule>
  </conditionalFormatting>
  <conditionalFormatting sqref="AG55">
    <cfRule type="expression" dxfId="1" priority="387">
      <formula>AG55&gt;5</formula>
    </cfRule>
    <cfRule type="expression" dxfId="0" priority="388">
      <formula>AND(ISNUMBER(AG55),AG55&lt;=5)</formula>
    </cfRule>
  </conditionalFormatting>
  <dataValidations count="11">
    <dataValidation type="custom" allowBlank="1" showInputMessage="1" showErrorMessage="1" errorTitle="Icon／Logo 請二選一" error="同一顆只能填 Icon 或 Logo；請先清空另一格。" promptTitle="Icon／Logo 二選一" prompt="Icon 填素材名稱；Logo 填圖檔名。" sqref="AB53:AB54 T53:T54 O53:O54" xr:uid="{00000000-0002-0000-0100-000000000000}">
      <formula1>OR(OR(O53="",O53="(需要再填即可)"),OR(O54="",O54="(需要再填即可)"))</formula1>
    </dataValidation>
    <dataValidation type="custom" allowBlank="1" showInputMessage="1" showErrorMessage="1" errorTitle="超過吸底文案字數" error="最多 5 個字；中文算 1，英數與半形符號算 0.5。" promptTitle="吸底文案：最多 5 字" prompt="中文算 1，英數與半形符號算 0.5。" sqref="C55 H55" xr:uid="{00000000-0002-0000-0100-000001000000}">
      <formula1>OR(OR(C55="",C55="文案5字內"),LENB(C55)/2&lt;=5)</formula1>
    </dataValidation>
    <dataValidation type="custom" allowBlank="1" showInputMessage="1" showErrorMessage="1" errorTitle="超過字數上限" error="最多 7 個字；中文算 1，英數與半形符號算 0.5。" promptTitle="字數限制：7" prompt="中文算 1，英數與半形符號算 0.5。" sqref="D12 L30 H30 D30" xr:uid="{00000000-0002-0000-0100-000002000000}">
      <formula1>LENB(D12)/2&lt;=7</formula1>
    </dataValidation>
    <dataValidation type="custom" allowBlank="1" showInputMessage="1" showErrorMessage="1" errorTitle="超過字數上限" error="最多 8 個字；中文算 1，英數與半形符號算 0.5。" promptTitle="字數限制：8" prompt="中文算 1，英數與半形符號算 0.5。" sqref="D34:D35 D13:D14" xr:uid="{00000000-0002-0000-0100-000003000000}">
      <formula1>LENB(D13)/2&lt;=8</formula1>
    </dataValidation>
    <dataValidation type="custom" allowBlank="1" showInputMessage="1" showErrorMessage="1" errorTitle="超過字數上限" error="最多 9 個字；中文算 1，英數與半形符號算 0.5。" promptTitle="字數限制：9" prompt="中文算 1，英數與半形符號算 0.5。" sqref="D15 N46:N50 I46:I50" xr:uid="{00000000-0002-0000-0100-000005000000}">
      <formula1>LENB(D15)/2&lt;=9</formula1>
    </dataValidation>
    <dataValidation type="custom" allowBlank="1" showInputMessage="1" showErrorMessage="1" errorTitle="超過字數上限" error="最多 5 個字；中文算 1，英數與半形符號算 0.5。" promptTitle="字數限制：5" prompt="中文算 1，英數與半形符號算 0.5。" sqref="D23 P6 P23 L6 L23 H6 H23 H14:H16 D6" xr:uid="{00000000-0002-0000-0100-000006000000}">
      <formula1>LENB(D6)/2&lt;=5</formula1>
    </dataValidation>
    <dataValidation type="custom" allowBlank="1" showInputMessage="1" showErrorMessage="1" errorTitle="超過字數上限" error="最多 6 個字；中文算 1，英數與半形符號算 0.5。" promptTitle="字數限制：6" prompt="中文算 1，英數與半形符號算 0.5。" sqref="D24 P7 P24 N40 L7 L24 I40 H7 H24 D7" xr:uid="{00000000-0002-0000-0100-000007000000}">
      <formula1>LENB(D7)/2&lt;=6</formula1>
    </dataValidation>
    <dataValidation type="custom" allowBlank="1" showInputMessage="1" showErrorMessage="1" errorTitle="超過字數上限" error="最多 4 個字；中文算 1，英數與半形符號算 0.5。" promptTitle="字數限制：4" prompt="中文算 1，英數與半形符號算 0.5。" sqref="N41 I41 D46:D50" xr:uid="{00000000-0002-0000-0100-00000B000000}">
      <formula1>LENB(D41)/2&lt;=4</formula1>
    </dataValidation>
    <dataValidation type="custom" allowBlank="1" showInputMessage="1" showErrorMessage="1" errorTitle="Icon／Logo 請二選一" error="同一顆只能填 Icon 或 Logo；請先清空另一格。" promptTitle="Icon／Logo 二選一" prompt="Icon 填素材名稱；Logo 填圖檔名。" sqref="E53:E54 J53:J54" xr:uid="{00000000-0002-0000-0100-000012000000}">
      <formula1>OR(OR(E53="",E53="(輸入許願的Icon，例：房子)"),OR(E54="",E54="(輸入圖檔名，例：三星.png)"))</formula1>
    </dataValidation>
    <dataValidation type="custom" allowBlank="1" showInputMessage="1" showErrorMessage="1" errorTitle="超過字數上限" error="最多 10 個字；中文算 1，英數與半形符號算 0.5。" promptTitle="字數限制：10" prompt="中文算 1，英數與半形符號算 0.5。" sqref="H35" xr:uid="{00000000-0002-0000-0100-000019000000}">
      <formula1>LENB(H35)/2&lt;=10</formula1>
    </dataValidation>
    <dataValidation type="custom" allowBlank="1" showInputMessage="1" showErrorMessage="1" errorTitle="超過吸底文案字數" error="最多 5 個字；中文算 1，英數與半形符號算 0.5。" promptTitle="吸底文案：最多 5 字" prompt="中文算 1，英數與半形符號算 0.5。" sqref="M55 Z55 R55" xr:uid="{00000000-0002-0000-0100-00002A000000}">
      <formula1>OR(OR(M55="",M55="(需要再填即可)"),LENB(M55)/2&lt;=5)</formula1>
    </dataValidation>
  </dataValidations>
  <pageMargins left="0.25" right="0.25" top="0.4" bottom="0.4" header="0.2" footer="0.2"/>
  <pageSetup paperSize="9" fitToHeight="0" orientation="landscape"/>
  <headerFooter>
    <oddFooter>&amp;L BODA 工單&amp;C MS Layout&amp;R 第 &amp;P / &amp;N 頁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14"/>
  <sheetViews>
    <sheetView workbookViewId="0"/>
  </sheetViews>
  <sheetFormatPr defaultRowHeight="15.75" x14ac:dyDescent="0.25"/>
  <sheetData>
    <row r="1" spans="1:36" x14ac:dyDescent="0.25">
      <c r="A1" t="s">
        <v>138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  <c r="G1" t="s">
        <v>144</v>
      </c>
      <c r="H1" t="s">
        <v>145</v>
      </c>
      <c r="I1" t="s">
        <v>146</v>
      </c>
      <c r="J1" t="s">
        <v>147</v>
      </c>
      <c r="K1" t="s">
        <v>148</v>
      </c>
      <c r="L1" t="s">
        <v>149</v>
      </c>
      <c r="M1" t="s">
        <v>150</v>
      </c>
      <c r="N1" t="s">
        <v>151</v>
      </c>
      <c r="O1" t="s">
        <v>152</v>
      </c>
      <c r="P1" t="s">
        <v>153</v>
      </c>
      <c r="Q1" t="s">
        <v>154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  <c r="W1" t="s">
        <v>160</v>
      </c>
      <c r="X1" t="s">
        <v>161</v>
      </c>
      <c r="Y1" t="s">
        <v>162</v>
      </c>
      <c r="Z1" t="s">
        <v>163</v>
      </c>
      <c r="AB1" t="s">
        <v>164</v>
      </c>
      <c r="AC1" t="s">
        <v>165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166</v>
      </c>
    </row>
    <row r="2" spans="1:36" x14ac:dyDescent="0.25">
      <c r="A2" t="s">
        <v>167</v>
      </c>
      <c r="B2">
        <v>8</v>
      </c>
      <c r="C2" t="s">
        <v>168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169</v>
      </c>
      <c r="P2" t="s">
        <v>6</v>
      </c>
      <c r="Q2" t="s">
        <v>6</v>
      </c>
      <c r="R2" t="s">
        <v>6</v>
      </c>
      <c r="S2" t="s">
        <v>6</v>
      </c>
      <c r="T2" t="s">
        <v>6</v>
      </c>
      <c r="U2" t="s">
        <v>6</v>
      </c>
      <c r="V2" t="s">
        <v>6</v>
      </c>
      <c r="W2" t="s">
        <v>6</v>
      </c>
      <c r="X2" t="s">
        <v>6</v>
      </c>
      <c r="Y2" t="s">
        <v>6</v>
      </c>
      <c r="Z2" t="s">
        <v>6</v>
      </c>
      <c r="AB2" t="s">
        <v>168</v>
      </c>
      <c r="AC2" t="s">
        <v>168</v>
      </c>
      <c r="AD2">
        <v>2</v>
      </c>
      <c r="AE2" t="s">
        <v>170</v>
      </c>
      <c r="AF2" t="s">
        <v>171</v>
      </c>
      <c r="AG2" t="s">
        <v>172</v>
      </c>
      <c r="AH2" t="s">
        <v>173</v>
      </c>
      <c r="AI2" t="s">
        <v>174</v>
      </c>
      <c r="AJ2" t="s">
        <v>175</v>
      </c>
    </row>
    <row r="3" spans="1:36" x14ac:dyDescent="0.25">
      <c r="A3" t="s">
        <v>176</v>
      </c>
      <c r="B3">
        <v>4</v>
      </c>
      <c r="C3" t="s">
        <v>168</v>
      </c>
      <c r="D3" t="s">
        <v>6</v>
      </c>
      <c r="E3" t="s">
        <v>6</v>
      </c>
      <c r="F3" t="s">
        <v>6</v>
      </c>
      <c r="G3" t="s">
        <v>6</v>
      </c>
      <c r="H3" t="s">
        <v>6</v>
      </c>
      <c r="I3" t="s">
        <v>6</v>
      </c>
      <c r="J3" t="s">
        <v>6</v>
      </c>
      <c r="K3" t="s">
        <v>6</v>
      </c>
      <c r="L3" t="s">
        <v>6</v>
      </c>
      <c r="M3" t="s">
        <v>6</v>
      </c>
      <c r="N3" t="s">
        <v>6</v>
      </c>
      <c r="O3" t="s">
        <v>169</v>
      </c>
      <c r="P3" t="s">
        <v>6</v>
      </c>
      <c r="Q3" t="s">
        <v>6</v>
      </c>
      <c r="R3" t="s">
        <v>6</v>
      </c>
      <c r="S3" t="s">
        <v>6</v>
      </c>
      <c r="T3" t="s">
        <v>6</v>
      </c>
      <c r="U3" t="s">
        <v>6</v>
      </c>
      <c r="V3" t="s">
        <v>6</v>
      </c>
      <c r="W3" t="s">
        <v>6</v>
      </c>
      <c r="X3" t="s">
        <v>6</v>
      </c>
      <c r="Y3" t="s">
        <v>6</v>
      </c>
      <c r="Z3" t="s">
        <v>6</v>
      </c>
      <c r="AB3" t="s">
        <v>177</v>
      </c>
      <c r="AC3" t="s">
        <v>178</v>
      </c>
      <c r="AD3">
        <v>1</v>
      </c>
      <c r="AE3" t="s">
        <v>179</v>
      </c>
      <c r="AF3" t="s">
        <v>171</v>
      </c>
      <c r="AG3" t="s">
        <v>180</v>
      </c>
      <c r="AH3" t="s">
        <v>181</v>
      </c>
      <c r="AI3" t="s">
        <v>182</v>
      </c>
      <c r="AJ3" t="s">
        <v>175</v>
      </c>
    </row>
    <row r="4" spans="1:36" x14ac:dyDescent="0.25">
      <c r="A4" t="s">
        <v>183</v>
      </c>
      <c r="B4">
        <v>4</v>
      </c>
      <c r="C4" t="s">
        <v>168</v>
      </c>
      <c r="D4" t="s">
        <v>6</v>
      </c>
      <c r="E4" t="s">
        <v>6</v>
      </c>
      <c r="F4" t="s">
        <v>6</v>
      </c>
      <c r="G4" t="s">
        <v>6</v>
      </c>
      <c r="H4" t="s">
        <v>6</v>
      </c>
      <c r="I4" t="s">
        <v>6</v>
      </c>
      <c r="J4" t="s">
        <v>6</v>
      </c>
      <c r="K4" t="s">
        <v>6</v>
      </c>
      <c r="L4" t="s">
        <v>6</v>
      </c>
      <c r="M4" t="s">
        <v>6</v>
      </c>
      <c r="N4" t="s">
        <v>6</v>
      </c>
      <c r="O4" t="s">
        <v>169</v>
      </c>
      <c r="P4" t="s">
        <v>6</v>
      </c>
      <c r="Q4" t="s">
        <v>6</v>
      </c>
      <c r="R4" t="s">
        <v>6</v>
      </c>
      <c r="S4" t="s">
        <v>6</v>
      </c>
      <c r="T4" t="s">
        <v>6</v>
      </c>
      <c r="U4" t="s">
        <v>6</v>
      </c>
      <c r="V4" t="s">
        <v>6</v>
      </c>
      <c r="W4" t="s">
        <v>6</v>
      </c>
      <c r="X4" t="s">
        <v>6</v>
      </c>
      <c r="Y4" t="s">
        <v>6</v>
      </c>
      <c r="Z4" t="s">
        <v>6</v>
      </c>
      <c r="AB4" t="s">
        <v>184</v>
      </c>
      <c r="AC4" t="s">
        <v>185</v>
      </c>
      <c r="AD4">
        <v>1</v>
      </c>
      <c r="AE4" t="s">
        <v>186</v>
      </c>
      <c r="AF4" t="s">
        <v>171</v>
      </c>
      <c r="AG4" t="s">
        <v>180</v>
      </c>
      <c r="AH4" t="s">
        <v>187</v>
      </c>
      <c r="AI4" t="s">
        <v>188</v>
      </c>
      <c r="AJ4" t="s">
        <v>175</v>
      </c>
    </row>
    <row r="5" spans="1:36" x14ac:dyDescent="0.25">
      <c r="A5" t="s">
        <v>189</v>
      </c>
      <c r="B5">
        <v>6</v>
      </c>
      <c r="C5" t="s">
        <v>168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169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6</v>
      </c>
      <c r="W5" t="s">
        <v>6</v>
      </c>
      <c r="X5" t="s">
        <v>6</v>
      </c>
      <c r="Y5" t="s">
        <v>6</v>
      </c>
      <c r="Z5" t="s">
        <v>6</v>
      </c>
      <c r="AB5" t="s">
        <v>190</v>
      </c>
      <c r="AC5" t="s">
        <v>190</v>
      </c>
      <c r="AD5">
        <v>1</v>
      </c>
      <c r="AE5" t="s">
        <v>191</v>
      </c>
      <c r="AF5" t="s">
        <v>192</v>
      </c>
      <c r="AG5" t="s">
        <v>193</v>
      </c>
      <c r="AH5" t="s">
        <v>194</v>
      </c>
      <c r="AI5" t="s">
        <v>195</v>
      </c>
      <c r="AJ5" t="s">
        <v>196</v>
      </c>
    </row>
    <row r="6" spans="1:36" x14ac:dyDescent="0.25">
      <c r="A6" t="s">
        <v>197</v>
      </c>
      <c r="B6">
        <v>0</v>
      </c>
      <c r="C6" t="s">
        <v>168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 t="s">
        <v>6</v>
      </c>
      <c r="M6" t="s">
        <v>6</v>
      </c>
      <c r="N6" t="s">
        <v>6</v>
      </c>
      <c r="O6" t="s">
        <v>169</v>
      </c>
      <c r="P6" t="s">
        <v>6</v>
      </c>
      <c r="Q6" t="s">
        <v>6</v>
      </c>
      <c r="R6" t="s">
        <v>6</v>
      </c>
      <c r="S6" t="s">
        <v>6</v>
      </c>
      <c r="T6" t="s">
        <v>6</v>
      </c>
      <c r="U6" t="s">
        <v>6</v>
      </c>
      <c r="V6" t="s">
        <v>6</v>
      </c>
      <c r="W6" t="s">
        <v>6</v>
      </c>
      <c r="X6" t="s">
        <v>6</v>
      </c>
      <c r="Y6" t="s">
        <v>6</v>
      </c>
      <c r="Z6" t="s">
        <v>6</v>
      </c>
      <c r="AB6" t="s">
        <v>198</v>
      </c>
      <c r="AC6" t="s">
        <v>199</v>
      </c>
      <c r="AD6">
        <v>1</v>
      </c>
      <c r="AE6" t="s">
        <v>200</v>
      </c>
      <c r="AF6" t="s">
        <v>192</v>
      </c>
      <c r="AG6" t="s">
        <v>201</v>
      </c>
      <c r="AH6" t="s">
        <v>202</v>
      </c>
      <c r="AI6" t="s">
        <v>198</v>
      </c>
      <c r="AJ6" t="s">
        <v>175</v>
      </c>
    </row>
    <row r="7" spans="1:36" x14ac:dyDescent="0.25">
      <c r="A7" t="s">
        <v>2</v>
      </c>
      <c r="B7">
        <v>6</v>
      </c>
      <c r="C7" t="s">
        <v>168</v>
      </c>
      <c r="D7" t="s">
        <v>177</v>
      </c>
      <c r="E7" t="s">
        <v>184</v>
      </c>
      <c r="F7" t="s">
        <v>190</v>
      </c>
      <c r="G7" t="s">
        <v>198</v>
      </c>
      <c r="H7" t="s">
        <v>203</v>
      </c>
      <c r="I7" t="s">
        <v>204</v>
      </c>
      <c r="J7" t="s">
        <v>205</v>
      </c>
      <c r="K7" t="s">
        <v>206</v>
      </c>
      <c r="L7" t="s">
        <v>207</v>
      </c>
      <c r="M7" t="s">
        <v>208</v>
      </c>
      <c r="N7" t="s">
        <v>209</v>
      </c>
      <c r="O7" t="s">
        <v>169</v>
      </c>
      <c r="P7" t="s">
        <v>169</v>
      </c>
      <c r="Q7" t="s">
        <v>169</v>
      </c>
      <c r="R7" t="s">
        <v>169</v>
      </c>
      <c r="S7" t="s">
        <v>169</v>
      </c>
      <c r="T7" t="s">
        <v>169</v>
      </c>
      <c r="U7" t="s">
        <v>169</v>
      </c>
      <c r="V7" t="s">
        <v>169</v>
      </c>
      <c r="W7" t="s">
        <v>210</v>
      </c>
      <c r="X7" t="s">
        <v>210</v>
      </c>
      <c r="Y7" t="s">
        <v>210</v>
      </c>
      <c r="Z7" t="s">
        <v>210</v>
      </c>
      <c r="AB7" t="s">
        <v>203</v>
      </c>
      <c r="AC7" t="s">
        <v>203</v>
      </c>
      <c r="AD7">
        <v>1</v>
      </c>
      <c r="AE7" t="s">
        <v>211</v>
      </c>
      <c r="AF7" t="s">
        <v>192</v>
      </c>
      <c r="AG7" t="s">
        <v>212</v>
      </c>
      <c r="AH7" t="s">
        <v>194</v>
      </c>
      <c r="AI7" t="s">
        <v>195</v>
      </c>
      <c r="AJ7" t="s">
        <v>196</v>
      </c>
    </row>
    <row r="8" spans="1:36" x14ac:dyDescent="0.25">
      <c r="A8" t="s">
        <v>213</v>
      </c>
      <c r="B8">
        <v>0</v>
      </c>
      <c r="C8" t="s">
        <v>168</v>
      </c>
      <c r="D8" t="s">
        <v>177</v>
      </c>
      <c r="E8" t="s">
        <v>184</v>
      </c>
      <c r="F8" t="s">
        <v>190</v>
      </c>
      <c r="G8" t="s">
        <v>198</v>
      </c>
      <c r="H8" t="s">
        <v>203</v>
      </c>
      <c r="I8" t="s">
        <v>204</v>
      </c>
      <c r="J8" t="s">
        <v>205</v>
      </c>
      <c r="K8" t="s">
        <v>206</v>
      </c>
      <c r="L8" t="s">
        <v>207</v>
      </c>
      <c r="M8" t="s">
        <v>208</v>
      </c>
      <c r="N8" t="s">
        <v>209</v>
      </c>
      <c r="O8" t="s">
        <v>169</v>
      </c>
      <c r="P8" t="s">
        <v>169</v>
      </c>
      <c r="Q8" t="s">
        <v>169</v>
      </c>
      <c r="R8" t="s">
        <v>169</v>
      </c>
      <c r="S8" t="s">
        <v>169</v>
      </c>
      <c r="T8" t="s">
        <v>169</v>
      </c>
      <c r="U8" t="s">
        <v>169</v>
      </c>
      <c r="V8" t="s">
        <v>169</v>
      </c>
      <c r="W8" t="s">
        <v>210</v>
      </c>
      <c r="X8" t="s">
        <v>210</v>
      </c>
      <c r="Y8" t="s">
        <v>210</v>
      </c>
      <c r="Z8" t="s">
        <v>210</v>
      </c>
      <c r="AB8" t="s">
        <v>204</v>
      </c>
      <c r="AC8" t="s">
        <v>214</v>
      </c>
      <c r="AD8">
        <v>1</v>
      </c>
      <c r="AE8" t="s">
        <v>215</v>
      </c>
      <c r="AF8" t="s">
        <v>171</v>
      </c>
      <c r="AG8" t="s">
        <v>180</v>
      </c>
      <c r="AH8" t="s">
        <v>216</v>
      </c>
      <c r="AI8" t="s">
        <v>217</v>
      </c>
      <c r="AJ8" t="s">
        <v>175</v>
      </c>
    </row>
    <row r="9" spans="1:36" x14ac:dyDescent="0.25">
      <c r="A9" t="s">
        <v>218</v>
      </c>
      <c r="B9">
        <v>6</v>
      </c>
      <c r="C9" t="s">
        <v>168</v>
      </c>
      <c r="D9" t="s">
        <v>177</v>
      </c>
      <c r="E9" t="s">
        <v>184</v>
      </c>
      <c r="F9" t="s">
        <v>190</v>
      </c>
      <c r="G9" t="s">
        <v>198</v>
      </c>
      <c r="H9" t="s">
        <v>203</v>
      </c>
      <c r="I9" t="s">
        <v>204</v>
      </c>
      <c r="J9" t="s">
        <v>205</v>
      </c>
      <c r="K9" t="s">
        <v>206</v>
      </c>
      <c r="L9" t="s">
        <v>207</v>
      </c>
      <c r="M9" t="s">
        <v>6</v>
      </c>
      <c r="N9" t="s">
        <v>6</v>
      </c>
      <c r="O9" t="s">
        <v>169</v>
      </c>
      <c r="P9" t="s">
        <v>169</v>
      </c>
      <c r="Q9" t="s">
        <v>169</v>
      </c>
      <c r="R9" t="s">
        <v>169</v>
      </c>
      <c r="S9" t="s">
        <v>169</v>
      </c>
      <c r="T9" t="s">
        <v>169</v>
      </c>
      <c r="U9" t="s">
        <v>210</v>
      </c>
      <c r="V9" t="s">
        <v>210</v>
      </c>
      <c r="W9" t="s">
        <v>210</v>
      </c>
      <c r="X9" t="s">
        <v>210</v>
      </c>
      <c r="Y9" t="s">
        <v>6</v>
      </c>
      <c r="Z9" t="s">
        <v>6</v>
      </c>
      <c r="AB9" t="s">
        <v>205</v>
      </c>
      <c r="AC9" t="s">
        <v>205</v>
      </c>
      <c r="AD9">
        <v>1</v>
      </c>
      <c r="AE9" t="s">
        <v>219</v>
      </c>
      <c r="AF9" t="s">
        <v>171</v>
      </c>
      <c r="AG9" t="s">
        <v>220</v>
      </c>
      <c r="AH9" t="s">
        <v>194</v>
      </c>
      <c r="AI9" t="s">
        <v>195</v>
      </c>
      <c r="AJ9" t="s">
        <v>196</v>
      </c>
    </row>
    <row r="10" spans="1:36" x14ac:dyDescent="0.25">
      <c r="A10" t="s">
        <v>221</v>
      </c>
      <c r="B10">
        <v>6</v>
      </c>
      <c r="C10" t="s">
        <v>168</v>
      </c>
      <c r="D10" t="s">
        <v>177</v>
      </c>
      <c r="E10" t="s">
        <v>184</v>
      </c>
      <c r="F10" t="s">
        <v>190</v>
      </c>
      <c r="G10" t="s">
        <v>198</v>
      </c>
      <c r="H10" t="s">
        <v>203</v>
      </c>
      <c r="I10" t="s">
        <v>204</v>
      </c>
      <c r="J10" t="s">
        <v>205</v>
      </c>
      <c r="K10" t="s">
        <v>206</v>
      </c>
      <c r="L10" t="s">
        <v>207</v>
      </c>
      <c r="M10" t="s">
        <v>6</v>
      </c>
      <c r="N10" t="s">
        <v>6</v>
      </c>
      <c r="O10" t="s">
        <v>169</v>
      </c>
      <c r="P10" t="s">
        <v>169</v>
      </c>
      <c r="Q10" t="s">
        <v>169</v>
      </c>
      <c r="R10" t="s">
        <v>169</v>
      </c>
      <c r="S10" t="s">
        <v>169</v>
      </c>
      <c r="T10" t="s">
        <v>169</v>
      </c>
      <c r="U10" t="s">
        <v>210</v>
      </c>
      <c r="V10" t="s">
        <v>210</v>
      </c>
      <c r="W10" t="s">
        <v>210</v>
      </c>
      <c r="X10" t="s">
        <v>210</v>
      </c>
      <c r="Y10" t="s">
        <v>6</v>
      </c>
      <c r="Z10" t="s">
        <v>6</v>
      </c>
      <c r="AB10" t="s">
        <v>206</v>
      </c>
      <c r="AC10" t="s">
        <v>222</v>
      </c>
      <c r="AD10">
        <v>1</v>
      </c>
      <c r="AE10" t="s">
        <v>223</v>
      </c>
      <c r="AF10" t="s">
        <v>171</v>
      </c>
      <c r="AG10" t="s">
        <v>180</v>
      </c>
      <c r="AH10" t="s">
        <v>216</v>
      </c>
      <c r="AI10" t="s">
        <v>224</v>
      </c>
      <c r="AJ10" t="s">
        <v>175</v>
      </c>
    </row>
    <row r="11" spans="1:36" x14ac:dyDescent="0.25">
      <c r="A11" t="s">
        <v>225</v>
      </c>
      <c r="B11">
        <v>3</v>
      </c>
      <c r="C11" t="s">
        <v>168</v>
      </c>
      <c r="D11" t="s">
        <v>207</v>
      </c>
      <c r="E11" t="s">
        <v>184</v>
      </c>
      <c r="F11" t="s">
        <v>177</v>
      </c>
      <c r="G11" t="s">
        <v>206</v>
      </c>
      <c r="H11" t="s">
        <v>204</v>
      </c>
      <c r="I11" t="s">
        <v>226</v>
      </c>
      <c r="J11" t="s">
        <v>209</v>
      </c>
      <c r="K11" t="s">
        <v>208</v>
      </c>
      <c r="L11" t="s">
        <v>6</v>
      </c>
      <c r="M11" t="s">
        <v>6</v>
      </c>
      <c r="N11" t="s">
        <v>6</v>
      </c>
      <c r="O11" t="s">
        <v>169</v>
      </c>
      <c r="P11" t="s">
        <v>169</v>
      </c>
      <c r="Q11" t="s">
        <v>169</v>
      </c>
      <c r="R11" t="s">
        <v>169</v>
      </c>
      <c r="S11" t="s">
        <v>169</v>
      </c>
      <c r="T11" t="s">
        <v>169</v>
      </c>
      <c r="U11" t="s">
        <v>169</v>
      </c>
      <c r="V11" t="s">
        <v>169</v>
      </c>
      <c r="W11" t="s">
        <v>169</v>
      </c>
      <c r="X11" t="s">
        <v>6</v>
      </c>
      <c r="Y11" t="s">
        <v>6</v>
      </c>
      <c r="Z11" t="s">
        <v>6</v>
      </c>
      <c r="AB11" t="s">
        <v>207</v>
      </c>
      <c r="AC11" t="s">
        <v>207</v>
      </c>
      <c r="AD11">
        <v>1</v>
      </c>
      <c r="AE11" t="s">
        <v>227</v>
      </c>
      <c r="AF11" t="s">
        <v>171</v>
      </c>
      <c r="AG11" t="s">
        <v>180</v>
      </c>
      <c r="AH11" t="s">
        <v>216</v>
      </c>
      <c r="AI11" t="s">
        <v>228</v>
      </c>
      <c r="AJ11" t="s">
        <v>175</v>
      </c>
    </row>
    <row r="12" spans="1:36" x14ac:dyDescent="0.25">
      <c r="A12" t="s">
        <v>229</v>
      </c>
      <c r="B12">
        <v>3</v>
      </c>
      <c r="C12" t="s">
        <v>168</v>
      </c>
      <c r="D12" t="s">
        <v>177</v>
      </c>
      <c r="E12" t="s">
        <v>184</v>
      </c>
      <c r="F12" t="s">
        <v>190</v>
      </c>
      <c r="G12" t="s">
        <v>203</v>
      </c>
      <c r="H12" t="s">
        <v>206</v>
      </c>
      <c r="I12" t="s">
        <v>6</v>
      </c>
      <c r="J12" t="s">
        <v>6</v>
      </c>
      <c r="K12" t="s">
        <v>6</v>
      </c>
      <c r="L12" t="s">
        <v>6</v>
      </c>
      <c r="M12" t="s">
        <v>6</v>
      </c>
      <c r="N12" t="s">
        <v>6</v>
      </c>
      <c r="O12" t="s">
        <v>169</v>
      </c>
      <c r="P12" t="s">
        <v>169</v>
      </c>
      <c r="Q12" t="s">
        <v>169</v>
      </c>
      <c r="R12" t="s">
        <v>169</v>
      </c>
      <c r="S12" t="s">
        <v>169</v>
      </c>
      <c r="T12" t="s">
        <v>210</v>
      </c>
      <c r="U12" t="s">
        <v>6</v>
      </c>
      <c r="V12" t="s">
        <v>6</v>
      </c>
      <c r="W12" t="s">
        <v>6</v>
      </c>
      <c r="X12" t="s">
        <v>6</v>
      </c>
      <c r="Y12" t="s">
        <v>6</v>
      </c>
      <c r="Z12" t="s">
        <v>6</v>
      </c>
      <c r="AB12" t="s">
        <v>208</v>
      </c>
      <c r="AC12" t="s">
        <v>230</v>
      </c>
      <c r="AD12">
        <v>1</v>
      </c>
      <c r="AE12" t="s">
        <v>231</v>
      </c>
      <c r="AF12" t="s">
        <v>232</v>
      </c>
      <c r="AG12" t="s">
        <v>233</v>
      </c>
      <c r="AH12" t="s">
        <v>234</v>
      </c>
      <c r="AI12" t="s">
        <v>235</v>
      </c>
      <c r="AJ12" t="s">
        <v>175</v>
      </c>
    </row>
    <row r="13" spans="1:36" x14ac:dyDescent="0.25">
      <c r="AB13" t="s">
        <v>209</v>
      </c>
      <c r="AC13" t="s">
        <v>236</v>
      </c>
      <c r="AD13">
        <v>1</v>
      </c>
      <c r="AE13" t="s">
        <v>237</v>
      </c>
      <c r="AF13" t="s">
        <v>192</v>
      </c>
      <c r="AG13" t="s">
        <v>238</v>
      </c>
      <c r="AH13" t="s">
        <v>239</v>
      </c>
      <c r="AI13" t="s">
        <v>240</v>
      </c>
      <c r="AJ13" t="s">
        <v>175</v>
      </c>
    </row>
    <row r="14" spans="1:36" x14ac:dyDescent="0.25">
      <c r="AB14" t="s">
        <v>226</v>
      </c>
      <c r="AC14" t="s">
        <v>241</v>
      </c>
      <c r="AD14">
        <v>1</v>
      </c>
      <c r="AE14" t="s">
        <v>242</v>
      </c>
      <c r="AF14" t="s">
        <v>171</v>
      </c>
      <c r="AG14" t="s">
        <v>243</v>
      </c>
      <c r="AH14" t="s">
        <v>244</v>
      </c>
      <c r="AI14" t="s">
        <v>245</v>
      </c>
      <c r="AJ14" t="s">
        <v>175</v>
      </c>
    </row>
  </sheetData>
  <phoneticPr fontId="20" type="noConversion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2"/>
  <sheetViews>
    <sheetView workbookViewId="0"/>
  </sheetViews>
  <sheetFormatPr defaultRowHeight="15.75" x14ac:dyDescent="0.25"/>
  <sheetData>
    <row r="1" spans="1:16" x14ac:dyDescent="0.25">
      <c r="A1" t="s">
        <v>246</v>
      </c>
    </row>
    <row r="2" spans="1:16" x14ac:dyDescent="0.25">
      <c r="A2" t="s">
        <v>247</v>
      </c>
      <c r="B2" t="s">
        <v>248</v>
      </c>
      <c r="C2" t="s">
        <v>249</v>
      </c>
      <c r="D2" t="s">
        <v>250</v>
      </c>
      <c r="E2" t="s">
        <v>251</v>
      </c>
      <c r="F2" t="s">
        <v>252</v>
      </c>
      <c r="G2" t="s">
        <v>253</v>
      </c>
      <c r="H2" t="s">
        <v>254</v>
      </c>
      <c r="I2" t="s">
        <v>255</v>
      </c>
      <c r="J2" t="s">
        <v>256</v>
      </c>
      <c r="K2" t="s">
        <v>257</v>
      </c>
      <c r="L2" t="s">
        <v>258</v>
      </c>
      <c r="M2" t="s">
        <v>259</v>
      </c>
      <c r="N2" t="s">
        <v>260</v>
      </c>
      <c r="O2" t="s">
        <v>261</v>
      </c>
      <c r="P2" t="s">
        <v>262</v>
      </c>
    </row>
    <row r="3" spans="1:16" x14ac:dyDescent="0.25">
      <c r="A3" t="s">
        <v>263</v>
      </c>
      <c r="B3" t="s">
        <v>264</v>
      </c>
      <c r="C3">
        <v>1</v>
      </c>
      <c r="D3">
        <v>1</v>
      </c>
      <c r="E3" t="s">
        <v>265</v>
      </c>
      <c r="F3">
        <v>1</v>
      </c>
      <c r="G3">
        <v>1</v>
      </c>
      <c r="H3" t="s">
        <v>6</v>
      </c>
      <c r="I3">
        <v>1</v>
      </c>
      <c r="J3" t="s">
        <v>96</v>
      </c>
      <c r="K3" t="s">
        <v>266</v>
      </c>
      <c r="L3" t="s">
        <v>267</v>
      </c>
      <c r="M3" t="s">
        <v>268</v>
      </c>
      <c r="N3">
        <v>0</v>
      </c>
      <c r="O3" t="s">
        <v>269</v>
      </c>
      <c r="P3" t="s">
        <v>6</v>
      </c>
    </row>
    <row r="4" spans="1:16" x14ac:dyDescent="0.25">
      <c r="A4" t="s">
        <v>263</v>
      </c>
      <c r="B4" t="s">
        <v>264</v>
      </c>
      <c r="C4">
        <v>1</v>
      </c>
      <c r="D4">
        <v>1</v>
      </c>
      <c r="E4" t="s">
        <v>265</v>
      </c>
      <c r="F4">
        <v>1</v>
      </c>
      <c r="G4">
        <v>1</v>
      </c>
      <c r="H4" t="s">
        <v>6</v>
      </c>
      <c r="I4">
        <v>1</v>
      </c>
      <c r="J4" t="s">
        <v>270</v>
      </c>
      <c r="K4" t="s">
        <v>271</v>
      </c>
      <c r="L4" t="s">
        <v>267</v>
      </c>
      <c r="M4" t="s">
        <v>268</v>
      </c>
      <c r="N4">
        <v>0</v>
      </c>
      <c r="O4" t="s">
        <v>269</v>
      </c>
      <c r="P4" t="s">
        <v>6</v>
      </c>
    </row>
    <row r="5" spans="1:16" x14ac:dyDescent="0.25">
      <c r="A5" t="s">
        <v>263</v>
      </c>
      <c r="B5" t="s">
        <v>264</v>
      </c>
      <c r="C5">
        <v>1</v>
      </c>
      <c r="D5">
        <v>1</v>
      </c>
      <c r="E5" t="s">
        <v>265</v>
      </c>
      <c r="F5">
        <v>1</v>
      </c>
      <c r="G5">
        <v>1</v>
      </c>
      <c r="H5" t="s">
        <v>6</v>
      </c>
      <c r="I5">
        <v>1</v>
      </c>
      <c r="J5" t="s">
        <v>98</v>
      </c>
      <c r="K5" t="s">
        <v>272</v>
      </c>
      <c r="L5" t="s">
        <v>267</v>
      </c>
      <c r="M5" t="s">
        <v>268</v>
      </c>
      <c r="N5">
        <v>0</v>
      </c>
      <c r="O5" t="s">
        <v>273</v>
      </c>
      <c r="P5" t="s">
        <v>6</v>
      </c>
    </row>
    <row r="6" spans="1:16" x14ac:dyDescent="0.25">
      <c r="A6" t="s">
        <v>263</v>
      </c>
      <c r="B6" t="s">
        <v>264</v>
      </c>
      <c r="C6">
        <v>1</v>
      </c>
      <c r="D6">
        <v>1</v>
      </c>
      <c r="E6" t="s">
        <v>265</v>
      </c>
      <c r="F6">
        <v>1</v>
      </c>
      <c r="G6">
        <v>1</v>
      </c>
      <c r="H6" t="s">
        <v>6</v>
      </c>
      <c r="I6">
        <v>1</v>
      </c>
      <c r="J6" t="s">
        <v>99</v>
      </c>
      <c r="K6" t="s">
        <v>274</v>
      </c>
      <c r="L6" t="s">
        <v>267</v>
      </c>
      <c r="M6" t="s">
        <v>268</v>
      </c>
      <c r="N6">
        <v>0</v>
      </c>
      <c r="O6" t="s">
        <v>275</v>
      </c>
      <c r="P6" t="s">
        <v>6</v>
      </c>
    </row>
    <row r="7" spans="1:16" x14ac:dyDescent="0.25">
      <c r="A7" t="s">
        <v>263</v>
      </c>
      <c r="B7" t="s">
        <v>276</v>
      </c>
      <c r="C7">
        <v>1</v>
      </c>
      <c r="D7">
        <v>2</v>
      </c>
      <c r="E7" t="s">
        <v>265</v>
      </c>
      <c r="F7">
        <v>1</v>
      </c>
      <c r="G7">
        <v>1</v>
      </c>
      <c r="H7" t="s">
        <v>6</v>
      </c>
      <c r="I7">
        <v>2</v>
      </c>
      <c r="J7" t="s">
        <v>96</v>
      </c>
      <c r="K7" t="s">
        <v>277</v>
      </c>
      <c r="L7" t="s">
        <v>267</v>
      </c>
      <c r="M7" t="s">
        <v>268</v>
      </c>
      <c r="N7">
        <v>0</v>
      </c>
      <c r="O7" t="s">
        <v>269</v>
      </c>
      <c r="P7" t="s">
        <v>6</v>
      </c>
    </row>
    <row r="8" spans="1:16" x14ac:dyDescent="0.25">
      <c r="A8" t="s">
        <v>263</v>
      </c>
      <c r="B8" t="s">
        <v>276</v>
      </c>
      <c r="C8">
        <v>1</v>
      </c>
      <c r="D8">
        <v>2</v>
      </c>
      <c r="E8" t="s">
        <v>265</v>
      </c>
      <c r="F8">
        <v>1</v>
      </c>
      <c r="G8">
        <v>1</v>
      </c>
      <c r="H8" t="s">
        <v>6</v>
      </c>
      <c r="I8">
        <v>2</v>
      </c>
      <c r="J8" t="s">
        <v>270</v>
      </c>
      <c r="K8" t="s">
        <v>278</v>
      </c>
      <c r="L8" t="s">
        <v>267</v>
      </c>
      <c r="M8" t="s">
        <v>268</v>
      </c>
      <c r="N8">
        <v>0</v>
      </c>
      <c r="O8" t="s">
        <v>269</v>
      </c>
      <c r="P8" t="s">
        <v>6</v>
      </c>
    </row>
    <row r="9" spans="1:16" x14ac:dyDescent="0.25">
      <c r="A9" t="s">
        <v>263</v>
      </c>
      <c r="B9" t="s">
        <v>276</v>
      </c>
      <c r="C9">
        <v>1</v>
      </c>
      <c r="D9">
        <v>2</v>
      </c>
      <c r="E9" t="s">
        <v>265</v>
      </c>
      <c r="F9">
        <v>1</v>
      </c>
      <c r="G9">
        <v>1</v>
      </c>
      <c r="H9" t="s">
        <v>6</v>
      </c>
      <c r="I9">
        <v>2</v>
      </c>
      <c r="J9" t="s">
        <v>98</v>
      </c>
      <c r="K9" t="s">
        <v>279</v>
      </c>
      <c r="L9" t="s">
        <v>267</v>
      </c>
      <c r="M9" t="s">
        <v>268</v>
      </c>
      <c r="N9">
        <v>0</v>
      </c>
      <c r="O9" t="s">
        <v>273</v>
      </c>
      <c r="P9" t="s">
        <v>6</v>
      </c>
    </row>
    <row r="10" spans="1:16" x14ac:dyDescent="0.25">
      <c r="A10" t="s">
        <v>263</v>
      </c>
      <c r="B10" t="s">
        <v>276</v>
      </c>
      <c r="C10">
        <v>1</v>
      </c>
      <c r="D10">
        <v>2</v>
      </c>
      <c r="E10" t="s">
        <v>265</v>
      </c>
      <c r="F10">
        <v>1</v>
      </c>
      <c r="G10">
        <v>1</v>
      </c>
      <c r="H10" t="s">
        <v>6</v>
      </c>
      <c r="I10">
        <v>2</v>
      </c>
      <c r="J10" t="s">
        <v>99</v>
      </c>
      <c r="K10" t="s">
        <v>280</v>
      </c>
      <c r="L10" t="s">
        <v>267</v>
      </c>
      <c r="M10" t="s">
        <v>268</v>
      </c>
      <c r="N10">
        <v>0</v>
      </c>
      <c r="O10" t="s">
        <v>275</v>
      </c>
      <c r="P10" t="s">
        <v>6</v>
      </c>
    </row>
    <row r="11" spans="1:16" x14ac:dyDescent="0.25">
      <c r="A11" t="s">
        <v>263</v>
      </c>
      <c r="B11" t="s">
        <v>281</v>
      </c>
      <c r="C11">
        <v>1</v>
      </c>
      <c r="D11">
        <v>3</v>
      </c>
      <c r="E11" t="s">
        <v>265</v>
      </c>
      <c r="F11">
        <v>1</v>
      </c>
      <c r="G11">
        <v>1</v>
      </c>
      <c r="H11" t="s">
        <v>6</v>
      </c>
      <c r="I11">
        <v>3</v>
      </c>
      <c r="J11" t="s">
        <v>96</v>
      </c>
      <c r="K11" t="s">
        <v>282</v>
      </c>
      <c r="L11" t="s">
        <v>267</v>
      </c>
      <c r="M11" t="s">
        <v>268</v>
      </c>
      <c r="N11">
        <v>0</v>
      </c>
      <c r="O11" t="s">
        <v>269</v>
      </c>
      <c r="P11" t="s">
        <v>6</v>
      </c>
    </row>
    <row r="12" spans="1:16" x14ac:dyDescent="0.25">
      <c r="A12" t="s">
        <v>263</v>
      </c>
      <c r="B12" t="s">
        <v>281</v>
      </c>
      <c r="C12">
        <v>1</v>
      </c>
      <c r="D12">
        <v>3</v>
      </c>
      <c r="E12" t="s">
        <v>265</v>
      </c>
      <c r="F12">
        <v>1</v>
      </c>
      <c r="G12">
        <v>1</v>
      </c>
      <c r="H12" t="s">
        <v>6</v>
      </c>
      <c r="I12">
        <v>3</v>
      </c>
      <c r="J12" t="s">
        <v>270</v>
      </c>
      <c r="K12" t="s">
        <v>283</v>
      </c>
      <c r="L12" t="s">
        <v>267</v>
      </c>
      <c r="M12" t="s">
        <v>268</v>
      </c>
      <c r="N12">
        <v>0</v>
      </c>
      <c r="O12" t="s">
        <v>269</v>
      </c>
      <c r="P12" t="s">
        <v>6</v>
      </c>
    </row>
    <row r="13" spans="1:16" x14ac:dyDescent="0.25">
      <c r="A13" t="s">
        <v>263</v>
      </c>
      <c r="B13" t="s">
        <v>281</v>
      </c>
      <c r="C13">
        <v>1</v>
      </c>
      <c r="D13">
        <v>3</v>
      </c>
      <c r="E13" t="s">
        <v>265</v>
      </c>
      <c r="F13">
        <v>1</v>
      </c>
      <c r="G13">
        <v>1</v>
      </c>
      <c r="H13" t="s">
        <v>6</v>
      </c>
      <c r="I13">
        <v>3</v>
      </c>
      <c r="J13" t="s">
        <v>98</v>
      </c>
      <c r="K13" t="s">
        <v>284</v>
      </c>
      <c r="L13" t="s">
        <v>267</v>
      </c>
      <c r="M13" t="s">
        <v>268</v>
      </c>
      <c r="N13">
        <v>0</v>
      </c>
      <c r="O13" t="s">
        <v>273</v>
      </c>
      <c r="P13" t="s">
        <v>6</v>
      </c>
    </row>
    <row r="14" spans="1:16" x14ac:dyDescent="0.25">
      <c r="A14" t="s">
        <v>263</v>
      </c>
      <c r="B14" t="s">
        <v>281</v>
      </c>
      <c r="C14">
        <v>1</v>
      </c>
      <c r="D14">
        <v>3</v>
      </c>
      <c r="E14" t="s">
        <v>265</v>
      </c>
      <c r="F14">
        <v>1</v>
      </c>
      <c r="G14">
        <v>1</v>
      </c>
      <c r="H14" t="s">
        <v>6</v>
      </c>
      <c r="I14">
        <v>3</v>
      </c>
      <c r="J14" t="s">
        <v>99</v>
      </c>
      <c r="K14" t="s">
        <v>285</v>
      </c>
      <c r="L14" t="s">
        <v>267</v>
      </c>
      <c r="M14" t="s">
        <v>268</v>
      </c>
      <c r="N14">
        <v>0</v>
      </c>
      <c r="O14" t="s">
        <v>275</v>
      </c>
      <c r="P14" t="s">
        <v>6</v>
      </c>
    </row>
    <row r="15" spans="1:16" x14ac:dyDescent="0.25">
      <c r="A15" t="s">
        <v>263</v>
      </c>
      <c r="B15" t="s">
        <v>286</v>
      </c>
      <c r="C15">
        <v>1</v>
      </c>
      <c r="D15">
        <v>4</v>
      </c>
      <c r="E15" t="s">
        <v>265</v>
      </c>
      <c r="F15">
        <v>1</v>
      </c>
      <c r="G15">
        <v>1</v>
      </c>
      <c r="H15" t="s">
        <v>6</v>
      </c>
      <c r="I15">
        <v>4</v>
      </c>
      <c r="J15" t="s">
        <v>96</v>
      </c>
      <c r="K15" t="s">
        <v>287</v>
      </c>
      <c r="L15" t="s">
        <v>267</v>
      </c>
      <c r="M15" t="s">
        <v>268</v>
      </c>
      <c r="N15">
        <v>0</v>
      </c>
      <c r="O15" t="s">
        <v>269</v>
      </c>
      <c r="P15" t="s">
        <v>6</v>
      </c>
    </row>
    <row r="16" spans="1:16" x14ac:dyDescent="0.25">
      <c r="A16" t="s">
        <v>263</v>
      </c>
      <c r="B16" t="s">
        <v>286</v>
      </c>
      <c r="C16">
        <v>1</v>
      </c>
      <c r="D16">
        <v>4</v>
      </c>
      <c r="E16" t="s">
        <v>265</v>
      </c>
      <c r="F16">
        <v>1</v>
      </c>
      <c r="G16">
        <v>1</v>
      </c>
      <c r="H16" t="s">
        <v>6</v>
      </c>
      <c r="I16">
        <v>4</v>
      </c>
      <c r="J16" t="s">
        <v>270</v>
      </c>
      <c r="K16" t="s">
        <v>288</v>
      </c>
      <c r="L16" t="s">
        <v>267</v>
      </c>
      <c r="M16" t="s">
        <v>268</v>
      </c>
      <c r="N16">
        <v>0</v>
      </c>
      <c r="O16" t="s">
        <v>269</v>
      </c>
      <c r="P16" t="s">
        <v>6</v>
      </c>
    </row>
    <row r="17" spans="1:16" x14ac:dyDescent="0.25">
      <c r="A17" t="s">
        <v>263</v>
      </c>
      <c r="B17" t="s">
        <v>286</v>
      </c>
      <c r="C17">
        <v>1</v>
      </c>
      <c r="D17">
        <v>4</v>
      </c>
      <c r="E17" t="s">
        <v>265</v>
      </c>
      <c r="F17">
        <v>1</v>
      </c>
      <c r="G17">
        <v>1</v>
      </c>
      <c r="H17" t="s">
        <v>6</v>
      </c>
      <c r="I17">
        <v>4</v>
      </c>
      <c r="J17" t="s">
        <v>98</v>
      </c>
      <c r="K17" t="s">
        <v>289</v>
      </c>
      <c r="L17" t="s">
        <v>267</v>
      </c>
      <c r="M17" t="s">
        <v>268</v>
      </c>
      <c r="N17">
        <v>0</v>
      </c>
      <c r="O17" t="s">
        <v>273</v>
      </c>
      <c r="P17" t="s">
        <v>6</v>
      </c>
    </row>
    <row r="18" spans="1:16" x14ac:dyDescent="0.25">
      <c r="A18" t="s">
        <v>263</v>
      </c>
      <c r="B18" t="s">
        <v>286</v>
      </c>
      <c r="C18">
        <v>1</v>
      </c>
      <c r="D18">
        <v>4</v>
      </c>
      <c r="E18" t="s">
        <v>265</v>
      </c>
      <c r="F18">
        <v>1</v>
      </c>
      <c r="G18">
        <v>1</v>
      </c>
      <c r="H18" t="s">
        <v>6</v>
      </c>
      <c r="I18">
        <v>4</v>
      </c>
      <c r="J18" t="s">
        <v>99</v>
      </c>
      <c r="K18" t="s">
        <v>290</v>
      </c>
      <c r="L18" t="s">
        <v>267</v>
      </c>
      <c r="M18" t="s">
        <v>268</v>
      </c>
      <c r="N18">
        <v>0</v>
      </c>
      <c r="O18" t="s">
        <v>275</v>
      </c>
      <c r="P18" t="s">
        <v>6</v>
      </c>
    </row>
    <row r="19" spans="1:16" x14ac:dyDescent="0.25">
      <c r="A19" t="s">
        <v>291</v>
      </c>
      <c r="B19" t="s">
        <v>292</v>
      </c>
      <c r="C19">
        <v>2</v>
      </c>
      <c r="D19">
        <v>5</v>
      </c>
      <c r="E19" t="s">
        <v>6</v>
      </c>
      <c r="F19" t="s">
        <v>6</v>
      </c>
      <c r="G19" t="s">
        <v>6</v>
      </c>
      <c r="H19" t="s">
        <v>65</v>
      </c>
      <c r="I19">
        <v>1</v>
      </c>
      <c r="J19" t="s">
        <v>102</v>
      </c>
      <c r="K19" t="s">
        <v>293</v>
      </c>
      <c r="L19" t="s">
        <v>64</v>
      </c>
      <c r="M19" t="s">
        <v>65</v>
      </c>
      <c r="N19">
        <v>0</v>
      </c>
      <c r="O19" t="s">
        <v>294</v>
      </c>
      <c r="P19" t="s">
        <v>6</v>
      </c>
    </row>
    <row r="20" spans="1:16" x14ac:dyDescent="0.25">
      <c r="A20" t="s">
        <v>291</v>
      </c>
      <c r="B20" t="s">
        <v>292</v>
      </c>
      <c r="C20">
        <v>2</v>
      </c>
      <c r="D20">
        <v>5</v>
      </c>
      <c r="E20" t="s">
        <v>6</v>
      </c>
      <c r="F20" t="s">
        <v>6</v>
      </c>
      <c r="G20" t="s">
        <v>6</v>
      </c>
      <c r="H20" t="s">
        <v>65</v>
      </c>
      <c r="I20">
        <v>1</v>
      </c>
      <c r="J20" t="s">
        <v>270</v>
      </c>
      <c r="K20" t="s">
        <v>295</v>
      </c>
      <c r="L20" t="s">
        <v>64</v>
      </c>
      <c r="M20" t="s">
        <v>65</v>
      </c>
      <c r="N20">
        <v>0</v>
      </c>
      <c r="O20" t="s">
        <v>296</v>
      </c>
      <c r="P20" t="s">
        <v>6</v>
      </c>
    </row>
    <row r="21" spans="1:16" x14ac:dyDescent="0.25">
      <c r="A21" t="s">
        <v>291</v>
      </c>
      <c r="B21" t="s">
        <v>292</v>
      </c>
      <c r="C21">
        <v>2</v>
      </c>
      <c r="D21">
        <v>5</v>
      </c>
      <c r="E21" t="s">
        <v>6</v>
      </c>
      <c r="F21" t="s">
        <v>6</v>
      </c>
      <c r="G21" t="s">
        <v>6</v>
      </c>
      <c r="H21" t="s">
        <v>65</v>
      </c>
      <c r="I21">
        <v>1</v>
      </c>
      <c r="J21" t="s">
        <v>98</v>
      </c>
      <c r="K21" t="s">
        <v>297</v>
      </c>
      <c r="L21" t="s">
        <v>64</v>
      </c>
      <c r="M21" t="s">
        <v>65</v>
      </c>
      <c r="N21">
        <v>0</v>
      </c>
      <c r="O21" t="s">
        <v>298</v>
      </c>
      <c r="P21" t="s">
        <v>6</v>
      </c>
    </row>
    <row r="22" spans="1:16" x14ac:dyDescent="0.25">
      <c r="A22" t="s">
        <v>291</v>
      </c>
      <c r="B22" t="s">
        <v>292</v>
      </c>
      <c r="C22">
        <v>2</v>
      </c>
      <c r="D22">
        <v>5</v>
      </c>
      <c r="E22" t="s">
        <v>6</v>
      </c>
      <c r="F22" t="s">
        <v>6</v>
      </c>
      <c r="G22" t="s">
        <v>6</v>
      </c>
      <c r="H22" t="s">
        <v>65</v>
      </c>
      <c r="I22">
        <v>1</v>
      </c>
      <c r="J22" t="s">
        <v>103</v>
      </c>
      <c r="K22" t="s">
        <v>299</v>
      </c>
      <c r="L22" t="s">
        <v>64</v>
      </c>
      <c r="M22" t="s">
        <v>65</v>
      </c>
      <c r="N22">
        <v>0</v>
      </c>
      <c r="O22" t="s">
        <v>296</v>
      </c>
      <c r="P22" t="s">
        <v>6</v>
      </c>
    </row>
    <row r="23" spans="1:16" x14ac:dyDescent="0.25">
      <c r="A23" t="s">
        <v>291</v>
      </c>
      <c r="B23" t="s">
        <v>292</v>
      </c>
      <c r="C23">
        <v>2</v>
      </c>
      <c r="D23">
        <v>5</v>
      </c>
      <c r="E23" t="s">
        <v>6</v>
      </c>
      <c r="F23" t="s">
        <v>6</v>
      </c>
      <c r="G23" t="s">
        <v>6</v>
      </c>
      <c r="H23" t="s">
        <v>65</v>
      </c>
      <c r="I23">
        <v>1</v>
      </c>
      <c r="J23" t="s">
        <v>98</v>
      </c>
      <c r="K23" t="s">
        <v>300</v>
      </c>
      <c r="L23" t="s">
        <v>64</v>
      </c>
      <c r="M23" t="s">
        <v>65</v>
      </c>
      <c r="N23">
        <v>0</v>
      </c>
      <c r="O23" t="s">
        <v>298</v>
      </c>
      <c r="P23" t="s">
        <v>6</v>
      </c>
    </row>
    <row r="24" spans="1:16" x14ac:dyDescent="0.25">
      <c r="A24" t="s">
        <v>291</v>
      </c>
      <c r="B24" t="s">
        <v>292</v>
      </c>
      <c r="C24">
        <v>2</v>
      </c>
      <c r="D24">
        <v>5</v>
      </c>
      <c r="E24" t="s">
        <v>6</v>
      </c>
      <c r="F24" t="s">
        <v>6</v>
      </c>
      <c r="G24" t="s">
        <v>6</v>
      </c>
      <c r="H24" t="s">
        <v>65</v>
      </c>
      <c r="I24">
        <v>1</v>
      </c>
      <c r="J24" t="s">
        <v>104</v>
      </c>
      <c r="K24" t="s">
        <v>301</v>
      </c>
      <c r="L24" t="s">
        <v>64</v>
      </c>
      <c r="M24" t="s">
        <v>65</v>
      </c>
      <c r="N24">
        <v>0</v>
      </c>
      <c r="O24" t="s">
        <v>302</v>
      </c>
      <c r="P24" t="s">
        <v>6</v>
      </c>
    </row>
    <row r="25" spans="1:16" x14ac:dyDescent="0.25">
      <c r="A25" t="s">
        <v>291</v>
      </c>
      <c r="B25" t="s">
        <v>292</v>
      </c>
      <c r="C25">
        <v>2</v>
      </c>
      <c r="D25">
        <v>5</v>
      </c>
      <c r="E25" t="s">
        <v>6</v>
      </c>
      <c r="F25" t="s">
        <v>6</v>
      </c>
      <c r="G25" t="s">
        <v>6</v>
      </c>
      <c r="H25" t="s">
        <v>65</v>
      </c>
      <c r="I25">
        <v>1</v>
      </c>
      <c r="J25" t="s">
        <v>99</v>
      </c>
      <c r="K25" t="s">
        <v>303</v>
      </c>
      <c r="L25" t="s">
        <v>64</v>
      </c>
      <c r="M25" t="s">
        <v>65</v>
      </c>
      <c r="N25">
        <v>0</v>
      </c>
      <c r="O25" t="s">
        <v>304</v>
      </c>
      <c r="P25" t="s">
        <v>6</v>
      </c>
    </row>
    <row r="26" spans="1:16" x14ac:dyDescent="0.25">
      <c r="A26" t="s">
        <v>291</v>
      </c>
      <c r="B26" t="s">
        <v>292</v>
      </c>
      <c r="C26">
        <v>2</v>
      </c>
      <c r="D26">
        <v>5</v>
      </c>
      <c r="E26" t="s">
        <v>6</v>
      </c>
      <c r="F26" t="s">
        <v>6</v>
      </c>
      <c r="G26" t="s">
        <v>6</v>
      </c>
      <c r="H26" t="s">
        <v>65</v>
      </c>
      <c r="I26">
        <v>1</v>
      </c>
      <c r="J26" t="s">
        <v>105</v>
      </c>
      <c r="K26" t="s">
        <v>305</v>
      </c>
      <c r="L26" t="s">
        <v>64</v>
      </c>
      <c r="M26" t="s">
        <v>65</v>
      </c>
      <c r="N26">
        <v>0</v>
      </c>
      <c r="O26" t="s">
        <v>306</v>
      </c>
      <c r="P26" t="s">
        <v>6</v>
      </c>
    </row>
    <row r="27" spans="1:16" x14ac:dyDescent="0.25">
      <c r="A27" t="s">
        <v>291</v>
      </c>
      <c r="B27" t="s">
        <v>292</v>
      </c>
      <c r="C27">
        <v>2</v>
      </c>
      <c r="D27">
        <v>5</v>
      </c>
      <c r="E27" t="s">
        <v>6</v>
      </c>
      <c r="F27" t="s">
        <v>6</v>
      </c>
      <c r="G27" t="s">
        <v>6</v>
      </c>
      <c r="H27" t="s">
        <v>65</v>
      </c>
      <c r="I27">
        <v>1</v>
      </c>
      <c r="J27" t="s">
        <v>105</v>
      </c>
      <c r="K27" t="s">
        <v>307</v>
      </c>
      <c r="L27" t="s">
        <v>64</v>
      </c>
      <c r="M27" t="s">
        <v>65</v>
      </c>
      <c r="N27">
        <v>0</v>
      </c>
      <c r="O27" t="s">
        <v>306</v>
      </c>
      <c r="P27" t="s">
        <v>6</v>
      </c>
    </row>
    <row r="28" spans="1:16" x14ac:dyDescent="0.25">
      <c r="A28" t="s">
        <v>291</v>
      </c>
      <c r="B28" t="s">
        <v>292</v>
      </c>
      <c r="C28">
        <v>2</v>
      </c>
      <c r="D28">
        <v>5</v>
      </c>
      <c r="E28" t="s">
        <v>6</v>
      </c>
      <c r="F28" t="s">
        <v>6</v>
      </c>
      <c r="G28" t="s">
        <v>6</v>
      </c>
      <c r="H28" t="s">
        <v>65</v>
      </c>
      <c r="I28">
        <v>1</v>
      </c>
      <c r="J28" t="s">
        <v>106</v>
      </c>
      <c r="K28" t="s">
        <v>308</v>
      </c>
      <c r="L28" t="s">
        <v>64</v>
      </c>
      <c r="M28" t="s">
        <v>65</v>
      </c>
      <c r="N28">
        <v>0</v>
      </c>
      <c r="O28" t="s">
        <v>309</v>
      </c>
      <c r="P28" t="s">
        <v>6</v>
      </c>
    </row>
    <row r="29" spans="1:16" x14ac:dyDescent="0.25">
      <c r="A29" t="s">
        <v>291</v>
      </c>
      <c r="B29" t="s">
        <v>292</v>
      </c>
      <c r="C29">
        <v>2</v>
      </c>
      <c r="D29">
        <v>5</v>
      </c>
      <c r="E29" t="s">
        <v>6</v>
      </c>
      <c r="F29" t="s">
        <v>6</v>
      </c>
      <c r="G29" t="s">
        <v>6</v>
      </c>
      <c r="H29" t="s">
        <v>65</v>
      </c>
      <c r="I29">
        <v>1</v>
      </c>
      <c r="J29" t="s">
        <v>310</v>
      </c>
      <c r="K29" t="s">
        <v>311</v>
      </c>
      <c r="L29" t="s">
        <v>64</v>
      </c>
      <c r="M29" t="s">
        <v>65</v>
      </c>
      <c r="N29">
        <v>0</v>
      </c>
      <c r="O29" t="s">
        <v>312</v>
      </c>
      <c r="P29" t="s">
        <v>6</v>
      </c>
    </row>
    <row r="30" spans="1:16" x14ac:dyDescent="0.25">
      <c r="A30" t="s">
        <v>263</v>
      </c>
      <c r="B30" t="s">
        <v>313</v>
      </c>
      <c r="C30">
        <v>3</v>
      </c>
      <c r="D30">
        <v>6</v>
      </c>
      <c r="E30" t="s">
        <v>265</v>
      </c>
      <c r="F30">
        <v>1</v>
      </c>
      <c r="G30">
        <v>1</v>
      </c>
      <c r="H30" t="s">
        <v>6</v>
      </c>
      <c r="I30">
        <v>1</v>
      </c>
      <c r="J30" t="s">
        <v>96</v>
      </c>
      <c r="K30" t="s">
        <v>314</v>
      </c>
      <c r="L30" t="s">
        <v>267</v>
      </c>
      <c r="M30" t="s">
        <v>268</v>
      </c>
      <c r="N30">
        <v>0</v>
      </c>
      <c r="O30" t="s">
        <v>269</v>
      </c>
      <c r="P30" t="s">
        <v>6</v>
      </c>
    </row>
    <row r="31" spans="1:16" x14ac:dyDescent="0.25">
      <c r="A31" t="s">
        <v>263</v>
      </c>
      <c r="B31" t="s">
        <v>313</v>
      </c>
      <c r="C31">
        <v>3</v>
      </c>
      <c r="D31">
        <v>6</v>
      </c>
      <c r="E31" t="s">
        <v>265</v>
      </c>
      <c r="F31">
        <v>1</v>
      </c>
      <c r="G31">
        <v>1</v>
      </c>
      <c r="H31" t="s">
        <v>6</v>
      </c>
      <c r="I31">
        <v>1</v>
      </c>
      <c r="J31" t="s">
        <v>270</v>
      </c>
      <c r="K31" t="s">
        <v>315</v>
      </c>
      <c r="L31" t="s">
        <v>267</v>
      </c>
      <c r="M31" t="s">
        <v>268</v>
      </c>
      <c r="N31">
        <v>0</v>
      </c>
      <c r="O31" t="s">
        <v>269</v>
      </c>
      <c r="P31" t="s">
        <v>6</v>
      </c>
    </row>
    <row r="32" spans="1:16" x14ac:dyDescent="0.25">
      <c r="A32" t="s">
        <v>263</v>
      </c>
      <c r="B32" t="s">
        <v>313</v>
      </c>
      <c r="C32">
        <v>3</v>
      </c>
      <c r="D32">
        <v>6</v>
      </c>
      <c r="E32" t="s">
        <v>265</v>
      </c>
      <c r="F32">
        <v>1</v>
      </c>
      <c r="G32">
        <v>1</v>
      </c>
      <c r="H32" t="s">
        <v>6</v>
      </c>
      <c r="I32">
        <v>1</v>
      </c>
      <c r="J32" t="s">
        <v>98</v>
      </c>
      <c r="K32" t="s">
        <v>316</v>
      </c>
      <c r="L32" t="s">
        <v>267</v>
      </c>
      <c r="M32" t="s">
        <v>268</v>
      </c>
      <c r="N32">
        <v>0</v>
      </c>
      <c r="O32" t="s">
        <v>273</v>
      </c>
      <c r="P32" t="s">
        <v>6</v>
      </c>
    </row>
    <row r="33" spans="1:16" x14ac:dyDescent="0.25">
      <c r="A33" t="s">
        <v>263</v>
      </c>
      <c r="B33" t="s">
        <v>313</v>
      </c>
      <c r="C33">
        <v>3</v>
      </c>
      <c r="D33">
        <v>6</v>
      </c>
      <c r="E33" t="s">
        <v>265</v>
      </c>
      <c r="F33">
        <v>1</v>
      </c>
      <c r="G33">
        <v>1</v>
      </c>
      <c r="H33" t="s">
        <v>6</v>
      </c>
      <c r="I33">
        <v>1</v>
      </c>
      <c r="J33" t="s">
        <v>99</v>
      </c>
      <c r="K33" t="s">
        <v>317</v>
      </c>
      <c r="L33" t="s">
        <v>267</v>
      </c>
      <c r="M33" t="s">
        <v>268</v>
      </c>
      <c r="N33">
        <v>0</v>
      </c>
      <c r="O33" t="s">
        <v>275</v>
      </c>
      <c r="P33" t="s">
        <v>6</v>
      </c>
    </row>
    <row r="34" spans="1:16" x14ac:dyDescent="0.25">
      <c r="A34" t="s">
        <v>263</v>
      </c>
      <c r="B34" t="s">
        <v>318</v>
      </c>
      <c r="C34">
        <v>3</v>
      </c>
      <c r="D34">
        <v>7</v>
      </c>
      <c r="E34" t="s">
        <v>265</v>
      </c>
      <c r="F34">
        <v>1</v>
      </c>
      <c r="G34">
        <v>1</v>
      </c>
      <c r="H34" t="s">
        <v>6</v>
      </c>
      <c r="I34">
        <v>2</v>
      </c>
      <c r="J34" t="s">
        <v>96</v>
      </c>
      <c r="K34" t="s">
        <v>319</v>
      </c>
      <c r="L34" t="s">
        <v>267</v>
      </c>
      <c r="M34" t="s">
        <v>268</v>
      </c>
      <c r="N34">
        <v>0</v>
      </c>
      <c r="O34" t="s">
        <v>269</v>
      </c>
      <c r="P34" t="s">
        <v>6</v>
      </c>
    </row>
    <row r="35" spans="1:16" x14ac:dyDescent="0.25">
      <c r="A35" t="s">
        <v>263</v>
      </c>
      <c r="B35" t="s">
        <v>318</v>
      </c>
      <c r="C35">
        <v>3</v>
      </c>
      <c r="D35">
        <v>7</v>
      </c>
      <c r="E35" t="s">
        <v>265</v>
      </c>
      <c r="F35">
        <v>1</v>
      </c>
      <c r="G35">
        <v>1</v>
      </c>
      <c r="H35" t="s">
        <v>6</v>
      </c>
      <c r="I35">
        <v>2</v>
      </c>
      <c r="J35" t="s">
        <v>270</v>
      </c>
      <c r="K35" t="s">
        <v>320</v>
      </c>
      <c r="L35" t="s">
        <v>267</v>
      </c>
      <c r="M35" t="s">
        <v>268</v>
      </c>
      <c r="N35">
        <v>0</v>
      </c>
      <c r="O35" t="s">
        <v>269</v>
      </c>
      <c r="P35" t="s">
        <v>6</v>
      </c>
    </row>
    <row r="36" spans="1:16" x14ac:dyDescent="0.25">
      <c r="A36" t="s">
        <v>263</v>
      </c>
      <c r="B36" t="s">
        <v>318</v>
      </c>
      <c r="C36">
        <v>3</v>
      </c>
      <c r="D36">
        <v>7</v>
      </c>
      <c r="E36" t="s">
        <v>265</v>
      </c>
      <c r="F36">
        <v>1</v>
      </c>
      <c r="G36">
        <v>1</v>
      </c>
      <c r="H36" t="s">
        <v>6</v>
      </c>
      <c r="I36">
        <v>2</v>
      </c>
      <c r="J36" t="s">
        <v>98</v>
      </c>
      <c r="K36" t="s">
        <v>321</v>
      </c>
      <c r="L36" t="s">
        <v>267</v>
      </c>
      <c r="M36" t="s">
        <v>268</v>
      </c>
      <c r="N36">
        <v>0</v>
      </c>
      <c r="O36" t="s">
        <v>273</v>
      </c>
      <c r="P36" t="s">
        <v>6</v>
      </c>
    </row>
    <row r="37" spans="1:16" x14ac:dyDescent="0.25">
      <c r="A37" t="s">
        <v>263</v>
      </c>
      <c r="B37" t="s">
        <v>318</v>
      </c>
      <c r="C37">
        <v>3</v>
      </c>
      <c r="D37">
        <v>7</v>
      </c>
      <c r="E37" t="s">
        <v>265</v>
      </c>
      <c r="F37">
        <v>1</v>
      </c>
      <c r="G37">
        <v>1</v>
      </c>
      <c r="H37" t="s">
        <v>6</v>
      </c>
      <c r="I37">
        <v>2</v>
      </c>
      <c r="J37" t="s">
        <v>99</v>
      </c>
      <c r="K37" t="s">
        <v>322</v>
      </c>
      <c r="L37" t="s">
        <v>267</v>
      </c>
      <c r="M37" t="s">
        <v>268</v>
      </c>
      <c r="N37">
        <v>0</v>
      </c>
      <c r="O37" t="s">
        <v>275</v>
      </c>
      <c r="P37" t="s">
        <v>6</v>
      </c>
    </row>
    <row r="38" spans="1:16" x14ac:dyDescent="0.25">
      <c r="A38" t="s">
        <v>263</v>
      </c>
      <c r="B38" t="s">
        <v>323</v>
      </c>
      <c r="C38">
        <v>3</v>
      </c>
      <c r="D38">
        <v>8</v>
      </c>
      <c r="E38" t="s">
        <v>265</v>
      </c>
      <c r="F38">
        <v>1</v>
      </c>
      <c r="G38">
        <v>1</v>
      </c>
      <c r="H38" t="s">
        <v>6</v>
      </c>
      <c r="I38">
        <v>3</v>
      </c>
      <c r="J38" t="s">
        <v>96</v>
      </c>
      <c r="K38" t="s">
        <v>324</v>
      </c>
      <c r="L38" t="s">
        <v>267</v>
      </c>
      <c r="M38" t="s">
        <v>268</v>
      </c>
      <c r="N38">
        <v>0</v>
      </c>
      <c r="O38" t="s">
        <v>269</v>
      </c>
      <c r="P38" t="s">
        <v>6</v>
      </c>
    </row>
    <row r="39" spans="1:16" x14ac:dyDescent="0.25">
      <c r="A39" t="s">
        <v>263</v>
      </c>
      <c r="B39" t="s">
        <v>323</v>
      </c>
      <c r="C39">
        <v>3</v>
      </c>
      <c r="D39">
        <v>8</v>
      </c>
      <c r="E39" t="s">
        <v>265</v>
      </c>
      <c r="F39">
        <v>1</v>
      </c>
      <c r="G39">
        <v>1</v>
      </c>
      <c r="H39" t="s">
        <v>6</v>
      </c>
      <c r="I39">
        <v>3</v>
      </c>
      <c r="J39" t="s">
        <v>270</v>
      </c>
      <c r="K39" t="s">
        <v>325</v>
      </c>
      <c r="L39" t="s">
        <v>267</v>
      </c>
      <c r="M39" t="s">
        <v>268</v>
      </c>
      <c r="N39">
        <v>0</v>
      </c>
      <c r="O39" t="s">
        <v>269</v>
      </c>
      <c r="P39" t="s">
        <v>6</v>
      </c>
    </row>
    <row r="40" spans="1:16" x14ac:dyDescent="0.25">
      <c r="A40" t="s">
        <v>263</v>
      </c>
      <c r="B40" t="s">
        <v>323</v>
      </c>
      <c r="C40">
        <v>3</v>
      </c>
      <c r="D40">
        <v>8</v>
      </c>
      <c r="E40" t="s">
        <v>265</v>
      </c>
      <c r="F40">
        <v>1</v>
      </c>
      <c r="G40">
        <v>1</v>
      </c>
      <c r="H40" t="s">
        <v>6</v>
      </c>
      <c r="I40">
        <v>3</v>
      </c>
      <c r="J40" t="s">
        <v>98</v>
      </c>
      <c r="K40" t="s">
        <v>326</v>
      </c>
      <c r="L40" t="s">
        <v>267</v>
      </c>
      <c r="M40" t="s">
        <v>268</v>
      </c>
      <c r="N40">
        <v>0</v>
      </c>
      <c r="O40" t="s">
        <v>273</v>
      </c>
      <c r="P40" t="s">
        <v>6</v>
      </c>
    </row>
    <row r="41" spans="1:16" x14ac:dyDescent="0.25">
      <c r="A41" t="s">
        <v>263</v>
      </c>
      <c r="B41" t="s">
        <v>323</v>
      </c>
      <c r="C41">
        <v>3</v>
      </c>
      <c r="D41">
        <v>8</v>
      </c>
      <c r="E41" t="s">
        <v>265</v>
      </c>
      <c r="F41">
        <v>1</v>
      </c>
      <c r="G41">
        <v>1</v>
      </c>
      <c r="H41" t="s">
        <v>6</v>
      </c>
      <c r="I41">
        <v>3</v>
      </c>
      <c r="J41" t="s">
        <v>99</v>
      </c>
      <c r="K41" t="s">
        <v>327</v>
      </c>
      <c r="L41" t="s">
        <v>267</v>
      </c>
      <c r="M41" t="s">
        <v>268</v>
      </c>
      <c r="N41">
        <v>0</v>
      </c>
      <c r="O41" t="s">
        <v>275</v>
      </c>
      <c r="P41" t="s">
        <v>6</v>
      </c>
    </row>
    <row r="42" spans="1:16" x14ac:dyDescent="0.25">
      <c r="A42" t="s">
        <v>263</v>
      </c>
      <c r="B42" t="s">
        <v>328</v>
      </c>
      <c r="C42">
        <v>3</v>
      </c>
      <c r="D42">
        <v>9</v>
      </c>
      <c r="E42" t="s">
        <v>265</v>
      </c>
      <c r="F42">
        <v>1</v>
      </c>
      <c r="G42">
        <v>1</v>
      </c>
      <c r="H42" t="s">
        <v>6</v>
      </c>
      <c r="I42">
        <v>4</v>
      </c>
      <c r="J42" t="s">
        <v>96</v>
      </c>
      <c r="K42" t="s">
        <v>329</v>
      </c>
      <c r="L42" t="s">
        <v>267</v>
      </c>
      <c r="M42" t="s">
        <v>268</v>
      </c>
      <c r="N42">
        <v>0</v>
      </c>
      <c r="O42" t="s">
        <v>269</v>
      </c>
      <c r="P42" t="s">
        <v>6</v>
      </c>
    </row>
    <row r="43" spans="1:16" x14ac:dyDescent="0.25">
      <c r="A43" t="s">
        <v>263</v>
      </c>
      <c r="B43" t="s">
        <v>328</v>
      </c>
      <c r="C43">
        <v>3</v>
      </c>
      <c r="D43">
        <v>9</v>
      </c>
      <c r="E43" t="s">
        <v>265</v>
      </c>
      <c r="F43">
        <v>1</v>
      </c>
      <c r="G43">
        <v>1</v>
      </c>
      <c r="H43" t="s">
        <v>6</v>
      </c>
      <c r="I43">
        <v>4</v>
      </c>
      <c r="J43" t="s">
        <v>270</v>
      </c>
      <c r="K43" t="s">
        <v>330</v>
      </c>
      <c r="L43" t="s">
        <v>267</v>
      </c>
      <c r="M43" t="s">
        <v>268</v>
      </c>
      <c r="N43">
        <v>0</v>
      </c>
      <c r="O43" t="s">
        <v>269</v>
      </c>
      <c r="P43" t="s">
        <v>6</v>
      </c>
    </row>
    <row r="44" spans="1:16" x14ac:dyDescent="0.25">
      <c r="A44" t="s">
        <v>263</v>
      </c>
      <c r="B44" t="s">
        <v>328</v>
      </c>
      <c r="C44">
        <v>3</v>
      </c>
      <c r="D44">
        <v>9</v>
      </c>
      <c r="E44" t="s">
        <v>265</v>
      </c>
      <c r="F44">
        <v>1</v>
      </c>
      <c r="G44">
        <v>1</v>
      </c>
      <c r="H44" t="s">
        <v>6</v>
      </c>
      <c r="I44">
        <v>4</v>
      </c>
      <c r="J44" t="s">
        <v>98</v>
      </c>
      <c r="K44" t="s">
        <v>331</v>
      </c>
      <c r="L44" t="s">
        <v>267</v>
      </c>
      <c r="M44" t="s">
        <v>268</v>
      </c>
      <c r="N44">
        <v>0</v>
      </c>
      <c r="O44" t="s">
        <v>273</v>
      </c>
      <c r="P44" t="s">
        <v>6</v>
      </c>
    </row>
    <row r="45" spans="1:16" x14ac:dyDescent="0.25">
      <c r="A45" t="s">
        <v>263</v>
      </c>
      <c r="B45" t="s">
        <v>328</v>
      </c>
      <c r="C45">
        <v>3</v>
      </c>
      <c r="D45">
        <v>9</v>
      </c>
      <c r="E45" t="s">
        <v>265</v>
      </c>
      <c r="F45">
        <v>1</v>
      </c>
      <c r="G45">
        <v>1</v>
      </c>
      <c r="H45" t="s">
        <v>6</v>
      </c>
      <c r="I45">
        <v>4</v>
      </c>
      <c r="J45" t="s">
        <v>99</v>
      </c>
      <c r="K45" t="s">
        <v>332</v>
      </c>
      <c r="L45" t="s">
        <v>267</v>
      </c>
      <c r="M45" t="s">
        <v>268</v>
      </c>
      <c r="N45">
        <v>0</v>
      </c>
      <c r="O45" t="s">
        <v>275</v>
      </c>
      <c r="P45" t="s">
        <v>6</v>
      </c>
    </row>
    <row r="46" spans="1:16" x14ac:dyDescent="0.25">
      <c r="A46" t="s">
        <v>291</v>
      </c>
      <c r="B46" t="s">
        <v>333</v>
      </c>
      <c r="C46">
        <v>4</v>
      </c>
      <c r="D46">
        <v>10</v>
      </c>
      <c r="E46" t="s">
        <v>6</v>
      </c>
      <c r="F46" t="s">
        <v>6</v>
      </c>
      <c r="G46" t="s">
        <v>6</v>
      </c>
      <c r="H46" t="s">
        <v>70</v>
      </c>
      <c r="I46">
        <v>1</v>
      </c>
      <c r="J46" t="s">
        <v>96</v>
      </c>
      <c r="K46" t="s">
        <v>334</v>
      </c>
      <c r="L46" t="s">
        <v>69</v>
      </c>
      <c r="M46" t="s">
        <v>70</v>
      </c>
      <c r="N46">
        <v>0</v>
      </c>
      <c r="O46" t="s">
        <v>269</v>
      </c>
      <c r="P46" t="s">
        <v>6</v>
      </c>
    </row>
    <row r="47" spans="1:16" x14ac:dyDescent="0.25">
      <c r="A47" t="s">
        <v>291</v>
      </c>
      <c r="B47" t="s">
        <v>333</v>
      </c>
      <c r="C47">
        <v>4</v>
      </c>
      <c r="D47">
        <v>10</v>
      </c>
      <c r="E47" t="s">
        <v>6</v>
      </c>
      <c r="F47" t="s">
        <v>6</v>
      </c>
      <c r="G47" t="s">
        <v>6</v>
      </c>
      <c r="H47" t="s">
        <v>70</v>
      </c>
      <c r="I47">
        <v>1</v>
      </c>
      <c r="J47" t="s">
        <v>98</v>
      </c>
      <c r="K47" t="s">
        <v>335</v>
      </c>
      <c r="L47" t="s">
        <v>69</v>
      </c>
      <c r="M47" t="s">
        <v>70</v>
      </c>
      <c r="N47">
        <v>0</v>
      </c>
      <c r="O47" t="s">
        <v>336</v>
      </c>
      <c r="P47" t="s">
        <v>6</v>
      </c>
    </row>
    <row r="48" spans="1:16" x14ac:dyDescent="0.25">
      <c r="A48" t="s">
        <v>291</v>
      </c>
      <c r="B48" t="s">
        <v>333</v>
      </c>
      <c r="C48">
        <v>4</v>
      </c>
      <c r="D48">
        <v>10</v>
      </c>
      <c r="E48" t="s">
        <v>6</v>
      </c>
      <c r="F48" t="s">
        <v>6</v>
      </c>
      <c r="G48" t="s">
        <v>6</v>
      </c>
      <c r="H48" t="s">
        <v>70</v>
      </c>
      <c r="I48">
        <v>1</v>
      </c>
      <c r="J48" t="s">
        <v>310</v>
      </c>
      <c r="K48" t="s">
        <v>337</v>
      </c>
      <c r="L48" t="s">
        <v>69</v>
      </c>
      <c r="M48" t="s">
        <v>70</v>
      </c>
      <c r="N48">
        <v>0</v>
      </c>
      <c r="O48" t="s">
        <v>312</v>
      </c>
      <c r="P48" t="s">
        <v>6</v>
      </c>
    </row>
    <row r="49" spans="1:16" x14ac:dyDescent="0.25">
      <c r="A49" t="s">
        <v>291</v>
      </c>
      <c r="B49" t="s">
        <v>333</v>
      </c>
      <c r="C49">
        <v>4</v>
      </c>
      <c r="D49">
        <v>10</v>
      </c>
      <c r="E49" t="s">
        <v>6</v>
      </c>
      <c r="F49" t="s">
        <v>6</v>
      </c>
      <c r="G49" t="s">
        <v>6</v>
      </c>
      <c r="H49" t="s">
        <v>70</v>
      </c>
      <c r="I49">
        <v>2</v>
      </c>
      <c r="J49" t="s">
        <v>96</v>
      </c>
      <c r="K49" t="s">
        <v>338</v>
      </c>
      <c r="L49" t="s">
        <v>69</v>
      </c>
      <c r="M49" t="s">
        <v>70</v>
      </c>
      <c r="N49">
        <v>0</v>
      </c>
      <c r="O49" t="s">
        <v>269</v>
      </c>
      <c r="P49" t="s">
        <v>6</v>
      </c>
    </row>
    <row r="50" spans="1:16" x14ac:dyDescent="0.25">
      <c r="A50" t="s">
        <v>291</v>
      </c>
      <c r="B50" t="s">
        <v>333</v>
      </c>
      <c r="C50">
        <v>4</v>
      </c>
      <c r="D50">
        <v>10</v>
      </c>
      <c r="E50" t="s">
        <v>6</v>
      </c>
      <c r="F50" t="s">
        <v>6</v>
      </c>
      <c r="G50" t="s">
        <v>6</v>
      </c>
      <c r="H50" t="s">
        <v>70</v>
      </c>
      <c r="I50">
        <v>2</v>
      </c>
      <c r="J50" t="s">
        <v>98</v>
      </c>
      <c r="K50" t="s">
        <v>339</v>
      </c>
      <c r="L50" t="s">
        <v>69</v>
      </c>
      <c r="M50" t="s">
        <v>70</v>
      </c>
      <c r="N50">
        <v>0</v>
      </c>
      <c r="O50" t="s">
        <v>336</v>
      </c>
      <c r="P50" t="s">
        <v>6</v>
      </c>
    </row>
    <row r="51" spans="1:16" x14ac:dyDescent="0.25">
      <c r="A51" t="s">
        <v>291</v>
      </c>
      <c r="B51" t="s">
        <v>333</v>
      </c>
      <c r="C51">
        <v>4</v>
      </c>
      <c r="D51">
        <v>10</v>
      </c>
      <c r="E51" t="s">
        <v>6</v>
      </c>
      <c r="F51" t="s">
        <v>6</v>
      </c>
      <c r="G51" t="s">
        <v>6</v>
      </c>
      <c r="H51" t="s">
        <v>70</v>
      </c>
      <c r="I51">
        <v>2</v>
      </c>
      <c r="J51" t="s">
        <v>310</v>
      </c>
      <c r="K51" t="s">
        <v>340</v>
      </c>
      <c r="L51" t="s">
        <v>69</v>
      </c>
      <c r="M51" t="s">
        <v>70</v>
      </c>
      <c r="N51">
        <v>0</v>
      </c>
      <c r="O51" t="s">
        <v>312</v>
      </c>
      <c r="P51" t="s">
        <v>6</v>
      </c>
    </row>
    <row r="52" spans="1:16" x14ac:dyDescent="0.25">
      <c r="A52" t="s">
        <v>291</v>
      </c>
      <c r="B52" t="s">
        <v>333</v>
      </c>
      <c r="C52">
        <v>4</v>
      </c>
      <c r="D52">
        <v>10</v>
      </c>
      <c r="E52" t="s">
        <v>6</v>
      </c>
      <c r="F52" t="s">
        <v>6</v>
      </c>
      <c r="G52" t="s">
        <v>6</v>
      </c>
      <c r="H52" t="s">
        <v>70</v>
      </c>
      <c r="I52">
        <v>3</v>
      </c>
      <c r="J52" t="s">
        <v>96</v>
      </c>
      <c r="K52" t="s">
        <v>341</v>
      </c>
      <c r="L52" t="s">
        <v>69</v>
      </c>
      <c r="M52" t="s">
        <v>70</v>
      </c>
      <c r="N52">
        <v>0</v>
      </c>
      <c r="O52" t="s">
        <v>269</v>
      </c>
      <c r="P52" t="s">
        <v>6</v>
      </c>
    </row>
    <row r="53" spans="1:16" x14ac:dyDescent="0.25">
      <c r="A53" t="s">
        <v>291</v>
      </c>
      <c r="B53" t="s">
        <v>333</v>
      </c>
      <c r="C53">
        <v>4</v>
      </c>
      <c r="D53">
        <v>10</v>
      </c>
      <c r="E53" t="s">
        <v>6</v>
      </c>
      <c r="F53" t="s">
        <v>6</v>
      </c>
      <c r="G53" t="s">
        <v>6</v>
      </c>
      <c r="H53" t="s">
        <v>70</v>
      </c>
      <c r="I53">
        <v>3</v>
      </c>
      <c r="J53" t="s">
        <v>98</v>
      </c>
      <c r="K53" t="s">
        <v>342</v>
      </c>
      <c r="L53" t="s">
        <v>69</v>
      </c>
      <c r="M53" t="s">
        <v>70</v>
      </c>
      <c r="N53">
        <v>0</v>
      </c>
      <c r="O53" t="s">
        <v>336</v>
      </c>
      <c r="P53" t="s">
        <v>6</v>
      </c>
    </row>
    <row r="54" spans="1:16" x14ac:dyDescent="0.25">
      <c r="A54" t="s">
        <v>291</v>
      </c>
      <c r="B54" t="s">
        <v>333</v>
      </c>
      <c r="C54">
        <v>4</v>
      </c>
      <c r="D54">
        <v>10</v>
      </c>
      <c r="E54" t="s">
        <v>6</v>
      </c>
      <c r="F54" t="s">
        <v>6</v>
      </c>
      <c r="G54" t="s">
        <v>6</v>
      </c>
      <c r="H54" t="s">
        <v>70</v>
      </c>
      <c r="I54">
        <v>3</v>
      </c>
      <c r="J54" t="s">
        <v>310</v>
      </c>
      <c r="K54" t="s">
        <v>343</v>
      </c>
      <c r="L54" t="s">
        <v>69</v>
      </c>
      <c r="M54" t="s">
        <v>70</v>
      </c>
      <c r="N54">
        <v>0</v>
      </c>
      <c r="O54" t="s">
        <v>312</v>
      </c>
      <c r="P54" t="s">
        <v>6</v>
      </c>
    </row>
    <row r="55" spans="1:16" x14ac:dyDescent="0.25">
      <c r="A55" t="s">
        <v>291</v>
      </c>
      <c r="B55" t="s">
        <v>344</v>
      </c>
      <c r="C55">
        <v>5</v>
      </c>
      <c r="D55">
        <v>11</v>
      </c>
      <c r="E55" t="s">
        <v>6</v>
      </c>
      <c r="F55" t="s">
        <v>6</v>
      </c>
      <c r="G55" t="s">
        <v>6</v>
      </c>
      <c r="H55" t="s">
        <v>74</v>
      </c>
      <c r="I55">
        <v>1</v>
      </c>
      <c r="J55" t="s">
        <v>115</v>
      </c>
      <c r="K55" t="s">
        <v>345</v>
      </c>
      <c r="L55" t="s">
        <v>73</v>
      </c>
      <c r="M55" t="s">
        <v>74</v>
      </c>
      <c r="N55">
        <v>0</v>
      </c>
      <c r="O55" t="s">
        <v>346</v>
      </c>
      <c r="P55" t="s">
        <v>6</v>
      </c>
    </row>
    <row r="56" spans="1:16" x14ac:dyDescent="0.25">
      <c r="A56" t="s">
        <v>291</v>
      </c>
      <c r="B56" t="s">
        <v>344</v>
      </c>
      <c r="C56">
        <v>5</v>
      </c>
      <c r="D56">
        <v>11</v>
      </c>
      <c r="E56" t="s">
        <v>6</v>
      </c>
      <c r="F56" t="s">
        <v>6</v>
      </c>
      <c r="G56" t="s">
        <v>6</v>
      </c>
      <c r="H56" t="s">
        <v>74</v>
      </c>
      <c r="I56">
        <v>1</v>
      </c>
      <c r="J56" t="s">
        <v>96</v>
      </c>
      <c r="K56" t="s">
        <v>347</v>
      </c>
      <c r="L56" t="s">
        <v>73</v>
      </c>
      <c r="M56" t="s">
        <v>74</v>
      </c>
      <c r="N56">
        <v>0</v>
      </c>
      <c r="O56" t="s">
        <v>269</v>
      </c>
      <c r="P56" t="s">
        <v>6</v>
      </c>
    </row>
    <row r="57" spans="1:16" x14ac:dyDescent="0.25">
      <c r="A57" t="s">
        <v>291</v>
      </c>
      <c r="B57" t="s">
        <v>344</v>
      </c>
      <c r="C57">
        <v>5</v>
      </c>
      <c r="D57">
        <v>11</v>
      </c>
      <c r="E57" t="s">
        <v>6</v>
      </c>
      <c r="F57" t="s">
        <v>6</v>
      </c>
      <c r="G57" t="s">
        <v>6</v>
      </c>
      <c r="H57" t="s">
        <v>74</v>
      </c>
      <c r="I57">
        <v>1</v>
      </c>
      <c r="J57" t="s">
        <v>115</v>
      </c>
      <c r="K57" t="s">
        <v>348</v>
      </c>
      <c r="L57" t="s">
        <v>73</v>
      </c>
      <c r="M57" t="s">
        <v>74</v>
      </c>
      <c r="N57">
        <v>0</v>
      </c>
      <c r="O57" t="s">
        <v>346</v>
      </c>
      <c r="P57" t="s">
        <v>6</v>
      </c>
    </row>
    <row r="58" spans="1:16" x14ac:dyDescent="0.25">
      <c r="A58" t="s">
        <v>291</v>
      </c>
      <c r="B58" t="s">
        <v>344</v>
      </c>
      <c r="C58">
        <v>5</v>
      </c>
      <c r="D58">
        <v>11</v>
      </c>
      <c r="E58" t="s">
        <v>6</v>
      </c>
      <c r="F58" t="s">
        <v>6</v>
      </c>
      <c r="G58" t="s">
        <v>6</v>
      </c>
      <c r="H58" t="s">
        <v>74</v>
      </c>
      <c r="I58">
        <v>1</v>
      </c>
      <c r="J58" t="s">
        <v>116</v>
      </c>
      <c r="K58" t="s">
        <v>349</v>
      </c>
      <c r="L58" t="s">
        <v>73</v>
      </c>
      <c r="M58" t="s">
        <v>74</v>
      </c>
      <c r="N58">
        <v>0</v>
      </c>
      <c r="O58" t="s">
        <v>350</v>
      </c>
      <c r="P58" t="s">
        <v>6</v>
      </c>
    </row>
    <row r="59" spans="1:16" x14ac:dyDescent="0.25">
      <c r="A59" t="s">
        <v>291</v>
      </c>
      <c r="B59" t="s">
        <v>344</v>
      </c>
      <c r="C59">
        <v>5</v>
      </c>
      <c r="D59">
        <v>11</v>
      </c>
      <c r="E59" t="s">
        <v>6</v>
      </c>
      <c r="F59" t="s">
        <v>6</v>
      </c>
      <c r="G59" t="s">
        <v>6</v>
      </c>
      <c r="H59" t="s">
        <v>74</v>
      </c>
      <c r="I59">
        <v>1</v>
      </c>
      <c r="J59" t="s">
        <v>117</v>
      </c>
      <c r="K59" t="s">
        <v>351</v>
      </c>
      <c r="L59" t="s">
        <v>73</v>
      </c>
      <c r="M59" t="s">
        <v>74</v>
      </c>
      <c r="N59">
        <v>0</v>
      </c>
      <c r="O59" t="s">
        <v>296</v>
      </c>
      <c r="P59" t="s">
        <v>6</v>
      </c>
    </row>
    <row r="60" spans="1:16" x14ac:dyDescent="0.25">
      <c r="A60" t="s">
        <v>291</v>
      </c>
      <c r="B60" t="s">
        <v>344</v>
      </c>
      <c r="C60">
        <v>5</v>
      </c>
      <c r="D60">
        <v>11</v>
      </c>
      <c r="E60" t="s">
        <v>6</v>
      </c>
      <c r="F60" t="s">
        <v>6</v>
      </c>
      <c r="G60" t="s">
        <v>6</v>
      </c>
      <c r="H60" t="s">
        <v>74</v>
      </c>
      <c r="I60">
        <v>1</v>
      </c>
      <c r="J60" t="s">
        <v>310</v>
      </c>
      <c r="K60" t="s">
        <v>352</v>
      </c>
      <c r="L60" t="s">
        <v>73</v>
      </c>
      <c r="M60" t="s">
        <v>74</v>
      </c>
      <c r="N60">
        <v>0</v>
      </c>
      <c r="O60" t="s">
        <v>312</v>
      </c>
      <c r="P60" t="s">
        <v>6</v>
      </c>
    </row>
    <row r="61" spans="1:16" x14ac:dyDescent="0.25">
      <c r="A61" t="s">
        <v>291</v>
      </c>
      <c r="B61" t="s">
        <v>353</v>
      </c>
      <c r="C61">
        <v>6</v>
      </c>
      <c r="D61">
        <v>12</v>
      </c>
      <c r="E61" t="s">
        <v>6</v>
      </c>
      <c r="F61" t="s">
        <v>6</v>
      </c>
      <c r="G61" t="s">
        <v>6</v>
      </c>
      <c r="H61" t="s">
        <v>78</v>
      </c>
      <c r="I61">
        <v>1</v>
      </c>
      <c r="J61" t="s">
        <v>117</v>
      </c>
      <c r="K61" t="s">
        <v>354</v>
      </c>
      <c r="L61" t="s">
        <v>77</v>
      </c>
      <c r="M61" t="s">
        <v>78</v>
      </c>
      <c r="N61">
        <v>0</v>
      </c>
      <c r="O61" t="s">
        <v>296</v>
      </c>
      <c r="P61" t="s">
        <v>355</v>
      </c>
    </row>
    <row r="62" spans="1:16" x14ac:dyDescent="0.25">
      <c r="A62" t="s">
        <v>291</v>
      </c>
      <c r="B62" t="s">
        <v>353</v>
      </c>
      <c r="C62">
        <v>6</v>
      </c>
      <c r="D62">
        <v>12</v>
      </c>
      <c r="E62" t="s">
        <v>6</v>
      </c>
      <c r="F62" t="s">
        <v>6</v>
      </c>
      <c r="G62" t="s">
        <v>6</v>
      </c>
      <c r="H62" t="s">
        <v>78</v>
      </c>
      <c r="I62">
        <v>1</v>
      </c>
      <c r="J62" t="s">
        <v>102</v>
      </c>
      <c r="K62" t="s">
        <v>356</v>
      </c>
      <c r="L62" t="s">
        <v>77</v>
      </c>
      <c r="M62" t="s">
        <v>78</v>
      </c>
      <c r="N62">
        <v>0</v>
      </c>
      <c r="O62" t="s">
        <v>357</v>
      </c>
      <c r="P62" t="s">
        <v>358</v>
      </c>
    </row>
    <row r="63" spans="1:16" x14ac:dyDescent="0.25">
      <c r="A63" t="s">
        <v>291</v>
      </c>
      <c r="B63" t="s">
        <v>353</v>
      </c>
      <c r="C63">
        <v>6</v>
      </c>
      <c r="D63">
        <v>12</v>
      </c>
      <c r="E63" t="s">
        <v>6</v>
      </c>
      <c r="F63" t="s">
        <v>6</v>
      </c>
      <c r="G63" t="s">
        <v>6</v>
      </c>
      <c r="H63" t="s">
        <v>78</v>
      </c>
      <c r="I63">
        <v>1</v>
      </c>
      <c r="J63" t="s">
        <v>102</v>
      </c>
      <c r="K63" t="s">
        <v>359</v>
      </c>
      <c r="L63" t="s">
        <v>77</v>
      </c>
      <c r="M63" t="s">
        <v>78</v>
      </c>
      <c r="N63">
        <v>0</v>
      </c>
      <c r="O63" t="s">
        <v>357</v>
      </c>
      <c r="P63" t="s">
        <v>360</v>
      </c>
    </row>
    <row r="64" spans="1:16" x14ac:dyDescent="0.25">
      <c r="A64" t="s">
        <v>291</v>
      </c>
      <c r="B64" t="s">
        <v>353</v>
      </c>
      <c r="C64">
        <v>6</v>
      </c>
      <c r="D64">
        <v>12</v>
      </c>
      <c r="E64" t="s">
        <v>6</v>
      </c>
      <c r="F64" t="s">
        <v>6</v>
      </c>
      <c r="G64" t="s">
        <v>6</v>
      </c>
      <c r="H64" t="s">
        <v>78</v>
      </c>
      <c r="I64">
        <v>1</v>
      </c>
      <c r="J64" t="s">
        <v>116</v>
      </c>
      <c r="K64" t="s">
        <v>361</v>
      </c>
      <c r="L64" t="s">
        <v>77</v>
      </c>
      <c r="M64" t="s">
        <v>78</v>
      </c>
      <c r="N64">
        <v>0</v>
      </c>
      <c r="O64" t="s">
        <v>362</v>
      </c>
      <c r="P64" t="s">
        <v>363</v>
      </c>
    </row>
    <row r="65" spans="1:16" x14ac:dyDescent="0.25">
      <c r="A65" t="s">
        <v>291</v>
      </c>
      <c r="B65" t="s">
        <v>353</v>
      </c>
      <c r="C65">
        <v>6</v>
      </c>
      <c r="D65">
        <v>12</v>
      </c>
      <c r="E65" t="s">
        <v>6</v>
      </c>
      <c r="F65" t="s">
        <v>6</v>
      </c>
      <c r="G65" t="s">
        <v>6</v>
      </c>
      <c r="H65" t="s">
        <v>78</v>
      </c>
      <c r="I65">
        <v>1</v>
      </c>
      <c r="J65" t="s">
        <v>116</v>
      </c>
      <c r="K65" t="s">
        <v>364</v>
      </c>
      <c r="L65" t="s">
        <v>77</v>
      </c>
      <c r="M65" t="s">
        <v>78</v>
      </c>
      <c r="N65">
        <v>0</v>
      </c>
      <c r="O65" t="s">
        <v>362</v>
      </c>
      <c r="P65" t="s">
        <v>365</v>
      </c>
    </row>
    <row r="66" spans="1:16" x14ac:dyDescent="0.25">
      <c r="A66" t="s">
        <v>291</v>
      </c>
      <c r="B66" t="s">
        <v>353</v>
      </c>
      <c r="C66">
        <v>6</v>
      </c>
      <c r="D66">
        <v>12</v>
      </c>
      <c r="E66" t="s">
        <v>6</v>
      </c>
      <c r="F66" t="s">
        <v>6</v>
      </c>
      <c r="G66" t="s">
        <v>6</v>
      </c>
      <c r="H66" t="s">
        <v>78</v>
      </c>
      <c r="I66">
        <v>1</v>
      </c>
      <c r="J66" t="s">
        <v>96</v>
      </c>
      <c r="K66" t="s">
        <v>366</v>
      </c>
      <c r="L66" t="s">
        <v>77</v>
      </c>
      <c r="M66" t="s">
        <v>78</v>
      </c>
      <c r="N66">
        <v>0</v>
      </c>
      <c r="O66" t="s">
        <v>269</v>
      </c>
      <c r="P66" t="s">
        <v>367</v>
      </c>
    </row>
    <row r="67" spans="1:16" x14ac:dyDescent="0.25">
      <c r="A67" t="s">
        <v>291</v>
      </c>
      <c r="B67" t="s">
        <v>353</v>
      </c>
      <c r="C67">
        <v>6</v>
      </c>
      <c r="D67">
        <v>12</v>
      </c>
      <c r="E67" t="s">
        <v>6</v>
      </c>
      <c r="F67" t="s">
        <v>6</v>
      </c>
      <c r="G67" t="s">
        <v>6</v>
      </c>
      <c r="H67" t="s">
        <v>78</v>
      </c>
      <c r="I67">
        <v>1</v>
      </c>
      <c r="J67" t="s">
        <v>310</v>
      </c>
      <c r="K67" t="s">
        <v>368</v>
      </c>
      <c r="L67" t="s">
        <v>77</v>
      </c>
      <c r="M67" t="s">
        <v>78</v>
      </c>
      <c r="N67">
        <v>0</v>
      </c>
      <c r="O67" t="s">
        <v>369</v>
      </c>
      <c r="P67" t="s">
        <v>370</v>
      </c>
    </row>
    <row r="68" spans="1:16" x14ac:dyDescent="0.25">
      <c r="A68" t="s">
        <v>291</v>
      </c>
      <c r="B68" t="s">
        <v>371</v>
      </c>
      <c r="C68">
        <v>7</v>
      </c>
      <c r="D68">
        <v>13</v>
      </c>
      <c r="E68" t="s">
        <v>6</v>
      </c>
      <c r="F68" t="s">
        <v>6</v>
      </c>
      <c r="G68" t="s">
        <v>6</v>
      </c>
      <c r="H68" t="s">
        <v>82</v>
      </c>
      <c r="I68">
        <v>1</v>
      </c>
      <c r="J68" t="s">
        <v>121</v>
      </c>
      <c r="K68" t="s">
        <v>372</v>
      </c>
      <c r="L68" t="s">
        <v>81</v>
      </c>
      <c r="M68" t="s">
        <v>82</v>
      </c>
      <c r="N68">
        <v>0</v>
      </c>
      <c r="O68" t="s">
        <v>373</v>
      </c>
      <c r="P68" t="s">
        <v>6</v>
      </c>
    </row>
    <row r="69" spans="1:16" x14ac:dyDescent="0.25">
      <c r="A69" t="s">
        <v>291</v>
      </c>
      <c r="B69" t="s">
        <v>371</v>
      </c>
      <c r="C69">
        <v>7</v>
      </c>
      <c r="D69">
        <v>13</v>
      </c>
      <c r="E69" t="s">
        <v>6</v>
      </c>
      <c r="F69" t="s">
        <v>6</v>
      </c>
      <c r="G69" t="s">
        <v>6</v>
      </c>
      <c r="H69" t="s">
        <v>82</v>
      </c>
      <c r="I69">
        <v>1</v>
      </c>
      <c r="J69" t="s">
        <v>122</v>
      </c>
      <c r="K69" t="s">
        <v>374</v>
      </c>
      <c r="L69" t="s">
        <v>81</v>
      </c>
      <c r="M69" t="s">
        <v>82</v>
      </c>
      <c r="N69">
        <v>0</v>
      </c>
      <c r="O69" t="s">
        <v>375</v>
      </c>
      <c r="P69" t="s">
        <v>6</v>
      </c>
    </row>
    <row r="70" spans="1:16" x14ac:dyDescent="0.25">
      <c r="A70" t="s">
        <v>291</v>
      </c>
      <c r="B70" t="s">
        <v>371</v>
      </c>
      <c r="C70">
        <v>7</v>
      </c>
      <c r="D70">
        <v>13</v>
      </c>
      <c r="E70" t="s">
        <v>6</v>
      </c>
      <c r="F70" t="s">
        <v>6</v>
      </c>
      <c r="G70" t="s">
        <v>6</v>
      </c>
      <c r="H70" t="s">
        <v>82</v>
      </c>
      <c r="I70">
        <v>1</v>
      </c>
      <c r="J70" t="s">
        <v>122</v>
      </c>
      <c r="K70" t="s">
        <v>376</v>
      </c>
      <c r="L70" t="s">
        <v>81</v>
      </c>
      <c r="M70" t="s">
        <v>82</v>
      </c>
      <c r="N70">
        <v>0</v>
      </c>
      <c r="O70" t="s">
        <v>375</v>
      </c>
      <c r="P70" t="s">
        <v>6</v>
      </c>
    </row>
    <row r="71" spans="1:16" x14ac:dyDescent="0.25">
      <c r="A71" t="s">
        <v>291</v>
      </c>
      <c r="B71" t="s">
        <v>371</v>
      </c>
      <c r="C71">
        <v>7</v>
      </c>
      <c r="D71">
        <v>13</v>
      </c>
      <c r="E71" t="s">
        <v>6</v>
      </c>
      <c r="F71" t="s">
        <v>6</v>
      </c>
      <c r="G71" t="s">
        <v>6</v>
      </c>
      <c r="H71" t="s">
        <v>82</v>
      </c>
      <c r="I71">
        <v>1</v>
      </c>
      <c r="J71" t="s">
        <v>121</v>
      </c>
      <c r="K71" t="s">
        <v>377</v>
      </c>
      <c r="L71" t="s">
        <v>81</v>
      </c>
      <c r="M71" t="s">
        <v>82</v>
      </c>
      <c r="N71">
        <v>0</v>
      </c>
      <c r="O71" t="s">
        <v>373</v>
      </c>
      <c r="P71" t="s">
        <v>6</v>
      </c>
    </row>
    <row r="72" spans="1:16" x14ac:dyDescent="0.25">
      <c r="A72" t="s">
        <v>291</v>
      </c>
      <c r="B72" t="s">
        <v>371</v>
      </c>
      <c r="C72">
        <v>7</v>
      </c>
      <c r="D72">
        <v>13</v>
      </c>
      <c r="E72" t="s">
        <v>6</v>
      </c>
      <c r="F72" t="s">
        <v>6</v>
      </c>
      <c r="G72" t="s">
        <v>6</v>
      </c>
      <c r="H72" t="s">
        <v>82</v>
      </c>
      <c r="I72">
        <v>1</v>
      </c>
      <c r="J72" t="s">
        <v>122</v>
      </c>
      <c r="K72" t="s">
        <v>378</v>
      </c>
      <c r="L72" t="s">
        <v>81</v>
      </c>
      <c r="M72" t="s">
        <v>82</v>
      </c>
      <c r="N72">
        <v>0</v>
      </c>
      <c r="O72" t="s">
        <v>375</v>
      </c>
      <c r="P72" t="s">
        <v>6</v>
      </c>
    </row>
    <row r="73" spans="1:16" x14ac:dyDescent="0.25">
      <c r="A73" t="s">
        <v>291</v>
      </c>
      <c r="B73" t="s">
        <v>371</v>
      </c>
      <c r="C73">
        <v>7</v>
      </c>
      <c r="D73">
        <v>13</v>
      </c>
      <c r="E73" t="s">
        <v>6</v>
      </c>
      <c r="F73" t="s">
        <v>6</v>
      </c>
      <c r="G73" t="s">
        <v>6</v>
      </c>
      <c r="H73" t="s">
        <v>82</v>
      </c>
      <c r="I73">
        <v>1</v>
      </c>
      <c r="J73" t="s">
        <v>122</v>
      </c>
      <c r="K73" t="s">
        <v>379</v>
      </c>
      <c r="L73" t="s">
        <v>81</v>
      </c>
      <c r="M73" t="s">
        <v>82</v>
      </c>
      <c r="N73">
        <v>0</v>
      </c>
      <c r="O73" t="s">
        <v>375</v>
      </c>
      <c r="P73" t="s">
        <v>6</v>
      </c>
    </row>
    <row r="74" spans="1:16" x14ac:dyDescent="0.25">
      <c r="A74" t="s">
        <v>291</v>
      </c>
      <c r="B74" t="s">
        <v>371</v>
      </c>
      <c r="C74">
        <v>7</v>
      </c>
      <c r="D74">
        <v>13</v>
      </c>
      <c r="E74" t="s">
        <v>6</v>
      </c>
      <c r="F74" t="s">
        <v>6</v>
      </c>
      <c r="G74" t="s">
        <v>6</v>
      </c>
      <c r="H74" t="s">
        <v>82</v>
      </c>
      <c r="I74">
        <v>1</v>
      </c>
      <c r="J74" t="s">
        <v>121</v>
      </c>
      <c r="K74" t="s">
        <v>380</v>
      </c>
      <c r="L74" t="s">
        <v>81</v>
      </c>
      <c r="M74" t="s">
        <v>82</v>
      </c>
      <c r="N74">
        <v>0</v>
      </c>
      <c r="O74" t="s">
        <v>373</v>
      </c>
      <c r="P74" t="s">
        <v>6</v>
      </c>
    </row>
    <row r="75" spans="1:16" x14ac:dyDescent="0.25">
      <c r="A75" t="s">
        <v>291</v>
      </c>
      <c r="B75" t="s">
        <v>371</v>
      </c>
      <c r="C75">
        <v>7</v>
      </c>
      <c r="D75">
        <v>13</v>
      </c>
      <c r="E75" t="s">
        <v>6</v>
      </c>
      <c r="F75" t="s">
        <v>6</v>
      </c>
      <c r="G75" t="s">
        <v>6</v>
      </c>
      <c r="H75" t="s">
        <v>82</v>
      </c>
      <c r="I75">
        <v>1</v>
      </c>
      <c r="J75" t="s">
        <v>122</v>
      </c>
      <c r="K75" t="s">
        <v>381</v>
      </c>
      <c r="L75" t="s">
        <v>81</v>
      </c>
      <c r="M75" t="s">
        <v>82</v>
      </c>
      <c r="N75">
        <v>0</v>
      </c>
      <c r="O75" t="s">
        <v>375</v>
      </c>
      <c r="P75" t="s">
        <v>6</v>
      </c>
    </row>
    <row r="76" spans="1:16" x14ac:dyDescent="0.25">
      <c r="A76" t="s">
        <v>291</v>
      </c>
      <c r="B76" t="s">
        <v>371</v>
      </c>
      <c r="C76">
        <v>7</v>
      </c>
      <c r="D76">
        <v>13</v>
      </c>
      <c r="E76" t="s">
        <v>6</v>
      </c>
      <c r="F76" t="s">
        <v>6</v>
      </c>
      <c r="G76" t="s">
        <v>6</v>
      </c>
      <c r="H76" t="s">
        <v>82</v>
      </c>
      <c r="I76">
        <v>1</v>
      </c>
      <c r="J76" t="s">
        <v>122</v>
      </c>
      <c r="K76" t="s">
        <v>382</v>
      </c>
      <c r="L76" t="s">
        <v>81</v>
      </c>
      <c r="M76" t="s">
        <v>82</v>
      </c>
      <c r="N76">
        <v>0</v>
      </c>
      <c r="O76" t="s">
        <v>375</v>
      </c>
      <c r="P76" t="s">
        <v>6</v>
      </c>
    </row>
    <row r="77" spans="1:16" x14ac:dyDescent="0.25">
      <c r="A77" t="s">
        <v>291</v>
      </c>
      <c r="B77" t="s">
        <v>371</v>
      </c>
      <c r="C77">
        <v>7</v>
      </c>
      <c r="D77">
        <v>13</v>
      </c>
      <c r="E77" t="s">
        <v>6</v>
      </c>
      <c r="F77" t="s">
        <v>6</v>
      </c>
      <c r="G77" t="s">
        <v>6</v>
      </c>
      <c r="H77" t="s">
        <v>82</v>
      </c>
      <c r="I77">
        <v>1</v>
      </c>
      <c r="J77" t="s">
        <v>121</v>
      </c>
      <c r="K77" t="s">
        <v>383</v>
      </c>
      <c r="L77" t="s">
        <v>81</v>
      </c>
      <c r="M77" t="s">
        <v>82</v>
      </c>
      <c r="N77">
        <v>0</v>
      </c>
      <c r="O77" t="s">
        <v>373</v>
      </c>
      <c r="P77" t="s">
        <v>6</v>
      </c>
    </row>
    <row r="78" spans="1:16" x14ac:dyDescent="0.25">
      <c r="A78" t="s">
        <v>291</v>
      </c>
      <c r="B78" t="s">
        <v>371</v>
      </c>
      <c r="C78">
        <v>7</v>
      </c>
      <c r="D78">
        <v>13</v>
      </c>
      <c r="E78" t="s">
        <v>6</v>
      </c>
      <c r="F78" t="s">
        <v>6</v>
      </c>
      <c r="G78" t="s">
        <v>6</v>
      </c>
      <c r="H78" t="s">
        <v>82</v>
      </c>
      <c r="I78">
        <v>1</v>
      </c>
      <c r="J78" t="s">
        <v>122</v>
      </c>
      <c r="K78" t="s">
        <v>384</v>
      </c>
      <c r="L78" t="s">
        <v>81</v>
      </c>
      <c r="M78" t="s">
        <v>82</v>
      </c>
      <c r="N78">
        <v>0</v>
      </c>
      <c r="O78" t="s">
        <v>375</v>
      </c>
      <c r="P78" t="s">
        <v>6</v>
      </c>
    </row>
    <row r="79" spans="1:16" x14ac:dyDescent="0.25">
      <c r="A79" t="s">
        <v>291</v>
      </c>
      <c r="B79" t="s">
        <v>371</v>
      </c>
      <c r="C79">
        <v>7</v>
      </c>
      <c r="D79">
        <v>13</v>
      </c>
      <c r="E79" t="s">
        <v>6</v>
      </c>
      <c r="F79" t="s">
        <v>6</v>
      </c>
      <c r="G79" t="s">
        <v>6</v>
      </c>
      <c r="H79" t="s">
        <v>82</v>
      </c>
      <c r="I79">
        <v>1</v>
      </c>
      <c r="J79" t="s">
        <v>122</v>
      </c>
      <c r="K79" t="s">
        <v>385</v>
      </c>
      <c r="L79" t="s">
        <v>81</v>
      </c>
      <c r="M79" t="s">
        <v>82</v>
      </c>
      <c r="N79">
        <v>0</v>
      </c>
      <c r="O79" t="s">
        <v>375</v>
      </c>
      <c r="P79" t="s">
        <v>6</v>
      </c>
    </row>
    <row r="80" spans="1:16" x14ac:dyDescent="0.25">
      <c r="A80" t="s">
        <v>291</v>
      </c>
      <c r="B80" t="s">
        <v>371</v>
      </c>
      <c r="C80">
        <v>7</v>
      </c>
      <c r="D80">
        <v>13</v>
      </c>
      <c r="E80" t="s">
        <v>6</v>
      </c>
      <c r="F80" t="s">
        <v>6</v>
      </c>
      <c r="G80" t="s">
        <v>6</v>
      </c>
      <c r="H80" t="s">
        <v>82</v>
      </c>
      <c r="I80">
        <v>1</v>
      </c>
      <c r="J80" t="s">
        <v>121</v>
      </c>
      <c r="K80" t="s">
        <v>386</v>
      </c>
      <c r="L80" t="s">
        <v>81</v>
      </c>
      <c r="M80" t="s">
        <v>82</v>
      </c>
      <c r="N80">
        <v>0</v>
      </c>
      <c r="O80" t="s">
        <v>373</v>
      </c>
      <c r="P80" t="s">
        <v>6</v>
      </c>
    </row>
    <row r="81" spans="1:16" x14ac:dyDescent="0.25">
      <c r="A81" t="s">
        <v>291</v>
      </c>
      <c r="B81" t="s">
        <v>371</v>
      </c>
      <c r="C81">
        <v>7</v>
      </c>
      <c r="D81">
        <v>13</v>
      </c>
      <c r="E81" t="s">
        <v>6</v>
      </c>
      <c r="F81" t="s">
        <v>6</v>
      </c>
      <c r="G81" t="s">
        <v>6</v>
      </c>
      <c r="H81" t="s">
        <v>82</v>
      </c>
      <c r="I81">
        <v>1</v>
      </c>
      <c r="J81" t="s">
        <v>122</v>
      </c>
      <c r="K81" t="s">
        <v>387</v>
      </c>
      <c r="L81" t="s">
        <v>81</v>
      </c>
      <c r="M81" t="s">
        <v>82</v>
      </c>
      <c r="N81">
        <v>0</v>
      </c>
      <c r="O81" t="s">
        <v>375</v>
      </c>
      <c r="P81" t="s">
        <v>6</v>
      </c>
    </row>
    <row r="82" spans="1:16" x14ac:dyDescent="0.25">
      <c r="A82" t="s">
        <v>291</v>
      </c>
      <c r="B82" t="s">
        <v>371</v>
      </c>
      <c r="C82">
        <v>7</v>
      </c>
      <c r="D82">
        <v>13</v>
      </c>
      <c r="E82" t="s">
        <v>6</v>
      </c>
      <c r="F82" t="s">
        <v>6</v>
      </c>
      <c r="G82" t="s">
        <v>6</v>
      </c>
      <c r="H82" t="s">
        <v>82</v>
      </c>
      <c r="I82">
        <v>1</v>
      </c>
      <c r="J82" t="s">
        <v>122</v>
      </c>
      <c r="K82" t="s">
        <v>388</v>
      </c>
      <c r="L82" t="s">
        <v>81</v>
      </c>
      <c r="M82" t="s">
        <v>82</v>
      </c>
      <c r="N82">
        <v>0</v>
      </c>
      <c r="O82" t="s">
        <v>375</v>
      </c>
      <c r="P82" t="s">
        <v>6</v>
      </c>
    </row>
  </sheetData>
  <phoneticPr fontId="20" type="noConversion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workbookViewId="0"/>
  </sheetViews>
  <sheetFormatPr defaultRowHeight="15.75" x14ac:dyDescent="0.25"/>
  <sheetData>
    <row r="1" spans="1:7" x14ac:dyDescent="0.25">
      <c r="A1" t="s">
        <v>389</v>
      </c>
      <c r="B1" t="s">
        <v>55</v>
      </c>
    </row>
    <row r="2" spans="1:7" x14ac:dyDescent="0.25">
      <c r="A2" t="s">
        <v>390</v>
      </c>
      <c r="B2" t="s">
        <v>391</v>
      </c>
      <c r="C2" t="s">
        <v>392</v>
      </c>
      <c r="D2" t="s">
        <v>393</v>
      </c>
      <c r="E2" t="s">
        <v>394</v>
      </c>
      <c r="F2" t="s">
        <v>395</v>
      </c>
      <c r="G2" t="s">
        <v>396</v>
      </c>
    </row>
    <row r="3" spans="1:7" x14ac:dyDescent="0.25">
      <c r="A3">
        <v>1</v>
      </c>
      <c r="B3" t="s">
        <v>123</v>
      </c>
      <c r="C3" t="s">
        <v>397</v>
      </c>
      <c r="D3" t="s">
        <v>398</v>
      </c>
      <c r="E3" t="s">
        <v>399</v>
      </c>
      <c r="F3" t="s">
        <v>400</v>
      </c>
      <c r="G3">
        <v>0</v>
      </c>
    </row>
    <row r="4" spans="1:7" x14ac:dyDescent="0.25">
      <c r="A4">
        <v>2</v>
      </c>
      <c r="B4" t="s">
        <v>124</v>
      </c>
      <c r="C4" t="s">
        <v>401</v>
      </c>
      <c r="D4" t="s">
        <v>402</v>
      </c>
      <c r="E4" t="s">
        <v>403</v>
      </c>
      <c r="F4" t="s">
        <v>404</v>
      </c>
      <c r="G4">
        <v>0</v>
      </c>
    </row>
    <row r="5" spans="1:7" x14ac:dyDescent="0.25">
      <c r="A5">
        <v>3</v>
      </c>
      <c r="B5" t="s">
        <v>125</v>
      </c>
      <c r="C5" t="s">
        <v>405</v>
      </c>
      <c r="D5" t="s">
        <v>406</v>
      </c>
      <c r="E5" t="s">
        <v>407</v>
      </c>
      <c r="F5" t="s">
        <v>408</v>
      </c>
      <c r="G5">
        <v>1</v>
      </c>
    </row>
    <row r="6" spans="1:7" x14ac:dyDescent="0.25">
      <c r="A6">
        <v>4</v>
      </c>
      <c r="B6" t="s">
        <v>126</v>
      </c>
      <c r="C6" t="s">
        <v>409</v>
      </c>
      <c r="D6" t="s">
        <v>410</v>
      </c>
      <c r="E6" t="s">
        <v>411</v>
      </c>
      <c r="F6" t="s">
        <v>412</v>
      </c>
      <c r="G6">
        <v>1</v>
      </c>
    </row>
    <row r="7" spans="1:7" x14ac:dyDescent="0.25">
      <c r="A7">
        <v>5</v>
      </c>
      <c r="B7" t="s">
        <v>127</v>
      </c>
      <c r="C7" t="s">
        <v>413</v>
      </c>
      <c r="D7" t="s">
        <v>414</v>
      </c>
      <c r="E7" t="s">
        <v>415</v>
      </c>
      <c r="F7" t="s">
        <v>416</v>
      </c>
      <c r="G7">
        <v>1</v>
      </c>
    </row>
  </sheetData>
  <phoneticPr fontId="20" type="noConversion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"/>
  <sheetViews>
    <sheetView workbookViewId="0"/>
  </sheetViews>
  <sheetFormatPr defaultRowHeight="15.75" x14ac:dyDescent="0.25"/>
  <cols>
    <col min="1" max="1" width="12" customWidth="1"/>
    <col min="2" max="2" width="45" customWidth="1"/>
  </cols>
  <sheetData>
    <row r="1" spans="1:3" x14ac:dyDescent="0.25">
      <c r="A1" t="s">
        <v>417</v>
      </c>
      <c r="B1">
        <v>1</v>
      </c>
      <c r="C1" t="s">
        <v>418</v>
      </c>
    </row>
    <row r="3" spans="1:3" x14ac:dyDescent="0.25">
      <c r="A3">
        <v>1</v>
      </c>
      <c r="B3" t="s">
        <v>419</v>
      </c>
    </row>
  </sheetData>
  <phoneticPr fontId="20" type="noConversion"/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9"/>
  <sheetViews>
    <sheetView workbookViewId="0"/>
  </sheetViews>
  <sheetFormatPr defaultRowHeight="15.75" x14ac:dyDescent="0.25"/>
  <cols>
    <col min="1" max="2" width="28" customWidth="1"/>
    <col min="3" max="3" width="12" customWidth="1"/>
  </cols>
  <sheetData>
    <row r="1" spans="1:3" x14ac:dyDescent="0.25">
      <c r="A1" t="s">
        <v>420</v>
      </c>
      <c r="B1" t="s">
        <v>421</v>
      </c>
      <c r="C1" t="s">
        <v>422</v>
      </c>
    </row>
    <row r="2" spans="1:3" x14ac:dyDescent="0.25">
      <c r="A2" t="s">
        <v>423</v>
      </c>
      <c r="B2" t="s">
        <v>424</v>
      </c>
      <c r="C2" t="s">
        <v>425</v>
      </c>
    </row>
    <row r="3" spans="1:3" x14ac:dyDescent="0.25">
      <c r="A3" t="s">
        <v>426</v>
      </c>
      <c r="B3" t="s">
        <v>427</v>
      </c>
      <c r="C3" t="s">
        <v>425</v>
      </c>
    </row>
    <row r="4" spans="1:3" x14ac:dyDescent="0.25">
      <c r="A4" t="s">
        <v>428</v>
      </c>
      <c r="B4" t="s">
        <v>427</v>
      </c>
      <c r="C4" t="s">
        <v>425</v>
      </c>
    </row>
    <row r="5" spans="1:3" x14ac:dyDescent="0.25">
      <c r="A5" t="s">
        <v>429</v>
      </c>
      <c r="B5" t="s">
        <v>427</v>
      </c>
      <c r="C5" t="s">
        <v>425</v>
      </c>
    </row>
    <row r="6" spans="1:3" x14ac:dyDescent="0.25">
      <c r="A6" t="s">
        <v>430</v>
      </c>
      <c r="B6" t="s">
        <v>427</v>
      </c>
      <c r="C6" t="s">
        <v>425</v>
      </c>
    </row>
    <row r="7" spans="1:3" x14ac:dyDescent="0.25">
      <c r="A7" t="s">
        <v>431</v>
      </c>
      <c r="B7" t="s">
        <v>427</v>
      </c>
      <c r="C7" t="s">
        <v>425</v>
      </c>
    </row>
    <row r="8" spans="1:3" x14ac:dyDescent="0.25">
      <c r="A8" t="s">
        <v>432</v>
      </c>
      <c r="B8" t="s">
        <v>427</v>
      </c>
      <c r="C8" t="s">
        <v>425</v>
      </c>
    </row>
    <row r="9" spans="1:3" x14ac:dyDescent="0.25">
      <c r="A9" t="s">
        <v>433</v>
      </c>
      <c r="B9" t="s">
        <v>434</v>
      </c>
      <c r="C9" t="s">
        <v>425</v>
      </c>
    </row>
    <row r="10" spans="1:3" x14ac:dyDescent="0.25">
      <c r="A10" t="s">
        <v>435</v>
      </c>
      <c r="B10" t="s">
        <v>434</v>
      </c>
      <c r="C10" t="s">
        <v>425</v>
      </c>
    </row>
    <row r="11" spans="1:3" x14ac:dyDescent="0.25">
      <c r="A11" t="s">
        <v>436</v>
      </c>
      <c r="B11" t="s">
        <v>434</v>
      </c>
      <c r="C11" t="s">
        <v>425</v>
      </c>
    </row>
    <row r="12" spans="1:3" x14ac:dyDescent="0.25">
      <c r="A12" t="s">
        <v>437</v>
      </c>
      <c r="B12" t="s">
        <v>438</v>
      </c>
      <c r="C12" t="s">
        <v>439</v>
      </c>
    </row>
    <row r="13" spans="1:3" x14ac:dyDescent="0.25">
      <c r="A13" t="s">
        <v>440</v>
      </c>
      <c r="B13" t="s">
        <v>438</v>
      </c>
      <c r="C13" t="s">
        <v>439</v>
      </c>
    </row>
    <row r="14" spans="1:3" x14ac:dyDescent="0.25">
      <c r="A14" t="s">
        <v>441</v>
      </c>
      <c r="B14" t="s">
        <v>438</v>
      </c>
      <c r="C14" t="s">
        <v>439</v>
      </c>
    </row>
    <row r="15" spans="1:3" x14ac:dyDescent="0.25">
      <c r="A15" t="s">
        <v>442</v>
      </c>
      <c r="B15" t="s">
        <v>438</v>
      </c>
      <c r="C15" t="s">
        <v>439</v>
      </c>
    </row>
    <row r="16" spans="1:3" x14ac:dyDescent="0.25">
      <c r="A16" t="s">
        <v>443</v>
      </c>
      <c r="B16" t="s">
        <v>438</v>
      </c>
      <c r="C16" t="s">
        <v>439</v>
      </c>
    </row>
    <row r="17" spans="1:3" x14ac:dyDescent="0.25">
      <c r="A17" t="s">
        <v>444</v>
      </c>
      <c r="B17" t="s">
        <v>438</v>
      </c>
      <c r="C17" t="s">
        <v>439</v>
      </c>
    </row>
    <row r="18" spans="1:3" x14ac:dyDescent="0.25">
      <c r="A18" t="s">
        <v>445</v>
      </c>
      <c r="B18" t="s">
        <v>438</v>
      </c>
      <c r="C18" t="s">
        <v>439</v>
      </c>
    </row>
    <row r="19" spans="1:3" x14ac:dyDescent="0.25">
      <c r="A19" t="s">
        <v>446</v>
      </c>
      <c r="B19" t="s">
        <v>447</v>
      </c>
      <c r="C19" t="s">
        <v>425</v>
      </c>
    </row>
    <row r="20" spans="1:3" x14ac:dyDescent="0.25">
      <c r="A20" t="s">
        <v>448</v>
      </c>
      <c r="B20" t="s">
        <v>438</v>
      </c>
      <c r="C20" t="s">
        <v>439</v>
      </c>
    </row>
    <row r="21" spans="1:3" x14ac:dyDescent="0.25">
      <c r="A21" t="s">
        <v>449</v>
      </c>
      <c r="B21" t="s">
        <v>438</v>
      </c>
      <c r="C21" t="s">
        <v>439</v>
      </c>
    </row>
    <row r="22" spans="1:3" x14ac:dyDescent="0.25">
      <c r="A22" t="s">
        <v>450</v>
      </c>
      <c r="B22" t="s">
        <v>438</v>
      </c>
      <c r="C22" t="s">
        <v>439</v>
      </c>
    </row>
    <row r="23" spans="1:3" x14ac:dyDescent="0.25">
      <c r="A23" t="s">
        <v>451</v>
      </c>
      <c r="B23" t="s">
        <v>438</v>
      </c>
      <c r="C23" t="s">
        <v>439</v>
      </c>
    </row>
    <row r="24" spans="1:3" x14ac:dyDescent="0.25">
      <c r="A24" t="s">
        <v>452</v>
      </c>
      <c r="B24" t="s">
        <v>438</v>
      </c>
      <c r="C24" t="s">
        <v>439</v>
      </c>
    </row>
    <row r="25" spans="1:3" x14ac:dyDescent="0.25">
      <c r="A25" t="s">
        <v>453</v>
      </c>
      <c r="B25" t="s">
        <v>438</v>
      </c>
      <c r="C25" t="s">
        <v>439</v>
      </c>
    </row>
    <row r="26" spans="1:3" x14ac:dyDescent="0.25">
      <c r="A26" t="s">
        <v>454</v>
      </c>
      <c r="B26" t="s">
        <v>438</v>
      </c>
      <c r="C26" t="s">
        <v>439</v>
      </c>
    </row>
    <row r="27" spans="1:3" x14ac:dyDescent="0.25">
      <c r="A27" t="s">
        <v>455</v>
      </c>
      <c r="B27" t="s">
        <v>438</v>
      </c>
      <c r="C27" t="s">
        <v>439</v>
      </c>
    </row>
    <row r="28" spans="1:3" x14ac:dyDescent="0.25">
      <c r="A28" t="s">
        <v>456</v>
      </c>
      <c r="B28" t="s">
        <v>457</v>
      </c>
      <c r="C28" t="s">
        <v>425</v>
      </c>
    </row>
    <row r="29" spans="1:3" x14ac:dyDescent="0.25">
      <c r="A29" t="s">
        <v>458</v>
      </c>
      <c r="B29" t="s">
        <v>457</v>
      </c>
      <c r="C29" t="s">
        <v>425</v>
      </c>
    </row>
    <row r="30" spans="1:3" x14ac:dyDescent="0.25">
      <c r="A30" t="s">
        <v>459</v>
      </c>
      <c r="B30" t="s">
        <v>457</v>
      </c>
      <c r="C30" t="s">
        <v>425</v>
      </c>
    </row>
    <row r="31" spans="1:3" x14ac:dyDescent="0.25">
      <c r="A31" t="s">
        <v>460</v>
      </c>
      <c r="B31" t="s">
        <v>457</v>
      </c>
      <c r="C31" t="s">
        <v>425</v>
      </c>
    </row>
    <row r="32" spans="1:3" x14ac:dyDescent="0.25">
      <c r="A32" t="s">
        <v>461</v>
      </c>
      <c r="B32" t="s">
        <v>457</v>
      </c>
      <c r="C32" t="s">
        <v>425</v>
      </c>
    </row>
    <row r="33" spans="1:3" x14ac:dyDescent="0.25">
      <c r="A33" t="s">
        <v>462</v>
      </c>
      <c r="B33" t="s">
        <v>438</v>
      </c>
      <c r="C33" t="s">
        <v>439</v>
      </c>
    </row>
    <row r="34" spans="1:3" x14ac:dyDescent="0.25">
      <c r="A34" t="s">
        <v>463</v>
      </c>
      <c r="B34" t="s">
        <v>457</v>
      </c>
      <c r="C34" t="s">
        <v>425</v>
      </c>
    </row>
    <row r="35" spans="1:3" x14ac:dyDescent="0.25">
      <c r="A35" t="s">
        <v>464</v>
      </c>
      <c r="B35" t="s">
        <v>457</v>
      </c>
      <c r="C35" t="s">
        <v>425</v>
      </c>
    </row>
    <row r="36" spans="1:3" x14ac:dyDescent="0.25">
      <c r="A36" t="s">
        <v>465</v>
      </c>
      <c r="B36" t="s">
        <v>457</v>
      </c>
      <c r="C36" t="s">
        <v>425</v>
      </c>
    </row>
    <row r="37" spans="1:3" x14ac:dyDescent="0.25">
      <c r="A37" t="s">
        <v>466</v>
      </c>
      <c r="B37" t="s">
        <v>457</v>
      </c>
      <c r="C37" t="s">
        <v>425</v>
      </c>
    </row>
    <row r="38" spans="1:3" x14ac:dyDescent="0.25">
      <c r="A38" t="s">
        <v>467</v>
      </c>
      <c r="B38" t="s">
        <v>457</v>
      </c>
      <c r="C38" t="s">
        <v>425</v>
      </c>
    </row>
    <row r="39" spans="1:3" x14ac:dyDescent="0.25">
      <c r="A39" t="s">
        <v>468</v>
      </c>
      <c r="B39" t="s">
        <v>438</v>
      </c>
      <c r="C39" t="s">
        <v>439</v>
      </c>
    </row>
    <row r="40" spans="1:3" x14ac:dyDescent="0.25">
      <c r="A40" t="s">
        <v>469</v>
      </c>
      <c r="B40" t="s">
        <v>438</v>
      </c>
      <c r="C40" t="s">
        <v>439</v>
      </c>
    </row>
    <row r="41" spans="1:3" x14ac:dyDescent="0.25">
      <c r="A41" t="s">
        <v>470</v>
      </c>
      <c r="B41" t="s">
        <v>438</v>
      </c>
      <c r="C41" t="s">
        <v>439</v>
      </c>
    </row>
    <row r="42" spans="1:3" x14ac:dyDescent="0.25">
      <c r="A42" t="s">
        <v>471</v>
      </c>
      <c r="B42" t="s">
        <v>438</v>
      </c>
      <c r="C42" t="s">
        <v>439</v>
      </c>
    </row>
    <row r="43" spans="1:3" x14ac:dyDescent="0.25">
      <c r="A43" t="s">
        <v>472</v>
      </c>
      <c r="B43" t="s">
        <v>438</v>
      </c>
      <c r="C43" t="s">
        <v>439</v>
      </c>
    </row>
    <row r="44" spans="1:3" x14ac:dyDescent="0.25">
      <c r="A44" t="s">
        <v>473</v>
      </c>
      <c r="B44" t="s">
        <v>474</v>
      </c>
      <c r="C44" t="s">
        <v>425</v>
      </c>
    </row>
    <row r="45" spans="1:3" x14ac:dyDescent="0.25">
      <c r="A45" t="s">
        <v>475</v>
      </c>
      <c r="B45" t="s">
        <v>474</v>
      </c>
      <c r="C45" t="s">
        <v>425</v>
      </c>
    </row>
    <row r="46" spans="1:3" x14ac:dyDescent="0.25">
      <c r="A46" t="s">
        <v>476</v>
      </c>
      <c r="B46" t="s">
        <v>477</v>
      </c>
      <c r="C46" t="s">
        <v>425</v>
      </c>
    </row>
    <row r="47" spans="1:3" x14ac:dyDescent="0.25">
      <c r="A47" t="s">
        <v>478</v>
      </c>
      <c r="B47" t="s">
        <v>479</v>
      </c>
      <c r="C47" t="s">
        <v>425</v>
      </c>
    </row>
    <row r="48" spans="1:3" x14ac:dyDescent="0.25">
      <c r="A48" t="s">
        <v>480</v>
      </c>
      <c r="B48" t="s">
        <v>481</v>
      </c>
      <c r="C48" t="s">
        <v>425</v>
      </c>
    </row>
    <row r="49" spans="1:3" x14ac:dyDescent="0.25">
      <c r="A49" t="s">
        <v>482</v>
      </c>
      <c r="B49" t="s">
        <v>438</v>
      </c>
      <c r="C49" t="s">
        <v>439</v>
      </c>
    </row>
    <row r="50" spans="1:3" x14ac:dyDescent="0.25">
      <c r="A50" t="s">
        <v>483</v>
      </c>
      <c r="B50" t="s">
        <v>438</v>
      </c>
      <c r="C50" t="s">
        <v>439</v>
      </c>
    </row>
    <row r="51" spans="1:3" x14ac:dyDescent="0.25">
      <c r="A51" t="s">
        <v>484</v>
      </c>
      <c r="B51" t="s">
        <v>438</v>
      </c>
      <c r="C51" t="s">
        <v>439</v>
      </c>
    </row>
    <row r="52" spans="1:3" x14ac:dyDescent="0.25">
      <c r="A52" t="s">
        <v>485</v>
      </c>
      <c r="B52" t="s">
        <v>486</v>
      </c>
      <c r="C52" t="s">
        <v>425</v>
      </c>
    </row>
    <row r="53" spans="1:3" x14ac:dyDescent="0.25">
      <c r="A53" t="s">
        <v>487</v>
      </c>
      <c r="B53" t="s">
        <v>438</v>
      </c>
      <c r="C53" t="s">
        <v>439</v>
      </c>
    </row>
    <row r="54" spans="1:3" x14ac:dyDescent="0.25">
      <c r="A54" t="s">
        <v>488</v>
      </c>
      <c r="B54" t="s">
        <v>438</v>
      </c>
      <c r="C54" t="s">
        <v>439</v>
      </c>
    </row>
    <row r="55" spans="1:3" x14ac:dyDescent="0.25">
      <c r="A55" t="s">
        <v>489</v>
      </c>
      <c r="B55" t="s">
        <v>438</v>
      </c>
      <c r="C55" t="s">
        <v>439</v>
      </c>
    </row>
    <row r="56" spans="1:3" x14ac:dyDescent="0.25">
      <c r="A56" t="s">
        <v>490</v>
      </c>
      <c r="B56" t="s">
        <v>438</v>
      </c>
      <c r="C56" t="s">
        <v>439</v>
      </c>
    </row>
    <row r="57" spans="1:3" x14ac:dyDescent="0.25">
      <c r="A57" t="s">
        <v>491</v>
      </c>
      <c r="B57" t="s">
        <v>438</v>
      </c>
      <c r="C57" t="s">
        <v>439</v>
      </c>
    </row>
    <row r="58" spans="1:3" x14ac:dyDescent="0.25">
      <c r="A58" t="s">
        <v>492</v>
      </c>
      <c r="B58" t="s">
        <v>493</v>
      </c>
      <c r="C58" t="s">
        <v>425</v>
      </c>
    </row>
    <row r="59" spans="1:3" x14ac:dyDescent="0.25">
      <c r="A59" t="s">
        <v>494</v>
      </c>
      <c r="B59" t="s">
        <v>495</v>
      </c>
      <c r="C59" t="s">
        <v>425</v>
      </c>
    </row>
    <row r="60" spans="1:3" x14ac:dyDescent="0.25">
      <c r="A60" t="s">
        <v>496</v>
      </c>
      <c r="B60" t="s">
        <v>497</v>
      </c>
      <c r="C60" t="s">
        <v>425</v>
      </c>
    </row>
    <row r="61" spans="1:3" x14ac:dyDescent="0.25">
      <c r="A61" t="s">
        <v>498</v>
      </c>
      <c r="B61" t="s">
        <v>499</v>
      </c>
      <c r="C61" t="s">
        <v>425</v>
      </c>
    </row>
    <row r="62" spans="1:3" x14ac:dyDescent="0.25">
      <c r="A62" t="s">
        <v>500</v>
      </c>
      <c r="B62" t="s">
        <v>501</v>
      </c>
      <c r="C62" t="s">
        <v>425</v>
      </c>
    </row>
    <row r="63" spans="1:3" x14ac:dyDescent="0.25">
      <c r="A63" t="s">
        <v>502</v>
      </c>
      <c r="B63" t="s">
        <v>503</v>
      </c>
      <c r="C63" t="s">
        <v>425</v>
      </c>
    </row>
    <row r="64" spans="1:3" x14ac:dyDescent="0.25">
      <c r="A64" t="s">
        <v>504</v>
      </c>
      <c r="B64" t="s">
        <v>505</v>
      </c>
      <c r="C64" t="s">
        <v>425</v>
      </c>
    </row>
    <row r="65" spans="1:3" x14ac:dyDescent="0.25">
      <c r="A65" t="s">
        <v>506</v>
      </c>
      <c r="B65" t="s">
        <v>507</v>
      </c>
      <c r="C65" t="s">
        <v>425</v>
      </c>
    </row>
    <row r="66" spans="1:3" x14ac:dyDescent="0.25">
      <c r="A66" t="s">
        <v>508</v>
      </c>
      <c r="B66" t="s">
        <v>509</v>
      </c>
      <c r="C66" t="s">
        <v>425</v>
      </c>
    </row>
    <row r="67" spans="1:3" x14ac:dyDescent="0.25">
      <c r="A67" t="s">
        <v>510</v>
      </c>
      <c r="B67" t="s">
        <v>511</v>
      </c>
      <c r="C67" t="s">
        <v>425</v>
      </c>
    </row>
    <row r="68" spans="1:3" x14ac:dyDescent="0.25">
      <c r="A68" t="s">
        <v>512</v>
      </c>
      <c r="B68" t="s">
        <v>479</v>
      </c>
      <c r="C68" t="s">
        <v>425</v>
      </c>
    </row>
    <row r="69" spans="1:3" x14ac:dyDescent="0.25">
      <c r="A69" t="s">
        <v>513</v>
      </c>
      <c r="B69" t="s">
        <v>495</v>
      </c>
      <c r="C69" t="s">
        <v>425</v>
      </c>
    </row>
  </sheetData>
  <phoneticPr fontId="20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工單總覽</vt:lpstr>
      <vt:lpstr>MS Layout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BODA 工單</dc:title>
  <dc:subject>BODA 工單</dc:subject>
  <dc:creator/>
  <cp:keywords/>
  <dc:description/>
  <cp:lastModifiedBy/>
  <dcterms:created xsi:type="dcterms:W3CDTF">2026-09-03T09:49:54Z</dcterms:created>
  <dcterms:modified xsi:type="dcterms:W3CDTF">2026-09-03T10:05:54Z</dcterms:modified>
  <cp:category/>
</cp:coreProperties>
</file>