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0FF4B053-5B9D-47C6-97C5-ACF482DD114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工單總覽" sheetId="1" r:id="rId1"/>
    <sheet name="MS Layout" sheetId="2" r:id="rId2"/>
    <sheet name="設定" sheetId="3" state="veryHidden" r:id="rId3"/>
    <sheet name="_BODA_META" sheetId="4" state="veryHidden" r:id="rId4"/>
    <sheet name="_BODA_BOTTOM" sheetId="5" state="veryHidden" r:id="rId5"/>
    <sheet name="_BODA_RULES" sheetId="6" state="very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0" i="2" l="1"/>
  <c r="Y50" i="2"/>
  <c r="Q50" i="2"/>
  <c r="L50" i="2"/>
  <c r="G50" i="2"/>
  <c r="N42" i="2"/>
  <c r="J42" i="2"/>
  <c r="F42" i="2"/>
  <c r="N41" i="2"/>
  <c r="J41" i="2"/>
  <c r="F41" i="2"/>
  <c r="N40" i="2"/>
  <c r="J40" i="2"/>
  <c r="F40" i="2"/>
  <c r="J36" i="2"/>
  <c r="F36" i="2"/>
  <c r="J35" i="2"/>
  <c r="F35" i="2"/>
  <c r="J34" i="2"/>
  <c r="F34" i="2"/>
  <c r="J33" i="2"/>
  <c r="F33" i="2"/>
  <c r="J32" i="2"/>
  <c r="F32" i="2"/>
  <c r="R25" i="2"/>
  <c r="J25" i="2"/>
  <c r="R24" i="2"/>
  <c r="J24" i="2"/>
  <c r="R22" i="2"/>
  <c r="R21" i="2"/>
  <c r="R18" i="2"/>
  <c r="R17" i="2"/>
  <c r="R16" i="2"/>
  <c r="R15" i="2"/>
  <c r="J15" i="2"/>
  <c r="R14" i="2"/>
  <c r="J14" i="2"/>
  <c r="R13" i="2"/>
  <c r="J13" i="2"/>
  <c r="R12" i="2"/>
  <c r="J12" i="2"/>
  <c r="L9" i="2"/>
  <c r="G9" i="2"/>
  <c r="L8" i="2"/>
  <c r="G8" i="2"/>
  <c r="L7" i="2"/>
  <c r="G7" i="2"/>
  <c r="R6" i="2"/>
  <c r="L6" i="2"/>
  <c r="G6" i="2"/>
  <c r="R5" i="2"/>
  <c r="L5" i="2"/>
  <c r="G5" i="2"/>
  <c r="R4" i="2"/>
  <c r="L4" i="2"/>
  <c r="G4" i="2"/>
  <c r="I30" i="1"/>
  <c r="H30" i="1"/>
  <c r="G30" i="1"/>
  <c r="F30" i="1"/>
  <c r="E30" i="1"/>
  <c r="B30" i="1"/>
  <c r="A30" i="1"/>
  <c r="D30" i="1" s="1"/>
  <c r="B29" i="1"/>
  <c r="A29" i="1"/>
  <c r="I29" i="1" s="1"/>
  <c r="I28" i="1"/>
  <c r="H28" i="1"/>
  <c r="G28" i="1"/>
  <c r="B28" i="1"/>
  <c r="A28" i="1"/>
  <c r="F28" i="1" s="1"/>
  <c r="B27" i="1"/>
  <c r="A27" i="1"/>
  <c r="I27" i="1" s="1"/>
  <c r="I26" i="1"/>
  <c r="B26" i="1"/>
  <c r="A26" i="1"/>
  <c r="H26" i="1" s="1"/>
  <c r="B25" i="1"/>
  <c r="A25" i="1"/>
  <c r="I25" i="1" s="1"/>
  <c r="B24" i="1"/>
  <c r="A24" i="1"/>
  <c r="I24" i="1" s="1"/>
  <c r="I23" i="1"/>
  <c r="H23" i="1"/>
  <c r="G23" i="1"/>
  <c r="F23" i="1"/>
  <c r="E23" i="1"/>
  <c r="D23" i="1"/>
  <c r="C23" i="1"/>
  <c r="B23" i="1"/>
  <c r="A23" i="1"/>
  <c r="B22" i="1"/>
  <c r="A22" i="1"/>
  <c r="I22" i="1" s="1"/>
  <c r="I21" i="1"/>
  <c r="H21" i="1"/>
  <c r="G21" i="1"/>
  <c r="F21" i="1"/>
  <c r="E21" i="1"/>
  <c r="B21" i="1"/>
  <c r="A21" i="1"/>
  <c r="D21" i="1" s="1"/>
  <c r="B20" i="1"/>
  <c r="A20" i="1"/>
  <c r="I20" i="1" s="1"/>
  <c r="I19" i="1"/>
  <c r="H19" i="1"/>
  <c r="G19" i="1"/>
  <c r="B19" i="1"/>
  <c r="A19" i="1"/>
  <c r="F19" i="1" s="1"/>
  <c r="I15" i="1"/>
  <c r="I14" i="1"/>
  <c r="I13" i="1"/>
  <c r="I12" i="1"/>
  <c r="I11" i="1"/>
  <c r="F3" i="1"/>
  <c r="D25" i="1" l="1"/>
  <c r="C27" i="1"/>
  <c r="C29" i="1"/>
  <c r="C22" i="1"/>
  <c r="H29" i="1"/>
  <c r="C25" i="1"/>
  <c r="E25" i="1"/>
  <c r="C20" i="1"/>
  <c r="F25" i="1"/>
  <c r="D27" i="1"/>
  <c r="D20" i="1"/>
  <c r="G25" i="1"/>
  <c r="E27" i="1"/>
  <c r="E20" i="1"/>
  <c r="H25" i="1"/>
  <c r="F27" i="1"/>
  <c r="D29" i="1"/>
  <c r="F20" i="1"/>
  <c r="D22" i="1"/>
  <c r="G27" i="1"/>
  <c r="E29" i="1"/>
  <c r="G20" i="1"/>
  <c r="E22" i="1"/>
  <c r="C24" i="1"/>
  <c r="H27" i="1"/>
  <c r="F29" i="1"/>
  <c r="H20" i="1"/>
  <c r="F22" i="1"/>
  <c r="D24" i="1"/>
  <c r="G29" i="1"/>
  <c r="G22" i="1"/>
  <c r="E24" i="1"/>
  <c r="C26" i="1"/>
  <c r="C19" i="1"/>
  <c r="H22" i="1"/>
  <c r="F24" i="1"/>
  <c r="D26" i="1"/>
  <c r="D19" i="1"/>
  <c r="G24" i="1"/>
  <c r="E26" i="1"/>
  <c r="C28" i="1"/>
  <c r="E19" i="1"/>
  <c r="C21" i="1"/>
  <c r="H24" i="1"/>
  <c r="F26" i="1"/>
  <c r="D28" i="1"/>
  <c r="G26" i="1"/>
  <c r="E28" i="1"/>
  <c r="C30" i="1"/>
  <c r="I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4" authorId="0" shapeId="0" xr:uid="{98CCF671-384F-487F-BEBF-125E676B18B9}">
      <text>
        <r>
          <rPr>
            <sz val="11"/>
            <color theme="1"/>
            <rFont val="新細明體"/>
            <family val="2"/>
            <scheme val="minor"/>
          </rPr>
          <t>填寫規則：限8個字</t>
        </r>
      </text>
    </comment>
    <comment ref="I4" authorId="0" shapeId="0" xr:uid="{B7152B4C-6C24-4508-8E23-7AD037B47655}">
      <text>
        <r>
          <rPr>
            <sz val="11"/>
            <color theme="1"/>
            <rFont val="新細明體"/>
            <family val="2"/>
            <scheme val="minor"/>
          </rPr>
          <t>填寫規則：限8個字</t>
        </r>
      </text>
    </comment>
    <comment ref="N4" authorId="0" shapeId="0" xr:uid="{4D123163-8051-4F49-A06B-FFF66B3E29BE}">
      <text>
        <r>
          <rPr>
            <sz val="11"/>
            <color theme="1"/>
            <rFont val="新細明體"/>
            <family val="2"/>
            <scheme val="minor"/>
          </rPr>
          <t>填寫規則：限8個字</t>
        </r>
      </text>
    </comment>
    <comment ref="D5" authorId="0" shapeId="0" xr:uid="{A7A13FE6-A6B5-41E0-9933-823FA5C52D38}">
      <text>
        <r>
          <rPr>
            <sz val="11"/>
            <color theme="1"/>
            <rFont val="新細明體"/>
            <family val="2"/>
            <scheme val="minor"/>
          </rPr>
          <t>填寫規則：(檔名/券名)</t>
        </r>
      </text>
    </comment>
    <comment ref="I5" authorId="0" shapeId="0" xr:uid="{9BDC29AB-D76B-47CF-9692-BF13E580E73F}">
      <text>
        <r>
          <rPr>
            <sz val="11"/>
            <color theme="1"/>
            <rFont val="新細明體"/>
            <family val="2"/>
            <scheme val="minor"/>
          </rPr>
          <t>填寫規則：(檔名/券名)</t>
        </r>
      </text>
    </comment>
    <comment ref="N5" authorId="0" shapeId="0" xr:uid="{8E36C150-D20D-459E-B530-199C7E51A618}">
      <text>
        <r>
          <rPr>
            <sz val="11"/>
            <color theme="1"/>
            <rFont val="新細明體"/>
            <family val="2"/>
            <scheme val="minor"/>
          </rPr>
          <t>填寫規則：(檔名/券名)</t>
        </r>
      </text>
    </comment>
    <comment ref="D6" authorId="0" shapeId="0" xr:uid="{352267F0-7D19-400E-93FB-77B96ECDB313}">
      <text>
        <r>
          <rPr>
            <sz val="11"/>
            <color theme="1"/>
            <rFont val="新細明體"/>
            <family val="2"/>
            <scheme val="minor"/>
          </rPr>
          <t>填寫規則：(檔名/券名)</t>
        </r>
      </text>
    </comment>
    <comment ref="I6" authorId="0" shapeId="0" xr:uid="{749472D6-C471-4CF0-9AA9-E77D31DCB78D}">
      <text>
        <r>
          <rPr>
            <sz val="11"/>
            <color theme="1"/>
            <rFont val="新細明體"/>
            <family val="2"/>
            <scheme val="minor"/>
          </rPr>
          <t>填寫規則：(檔名/券名)</t>
        </r>
      </text>
    </comment>
    <comment ref="N6" authorId="0" shapeId="0" xr:uid="{A7BC0748-2C36-4CED-BA78-438CBDC693D8}">
      <text>
        <r>
          <rPr>
            <sz val="11"/>
            <color theme="1"/>
            <rFont val="新細明體"/>
            <family val="2"/>
            <scheme val="minor"/>
          </rPr>
          <t>填寫規則：限3個字</t>
        </r>
      </text>
    </comment>
    <comment ref="D7" authorId="0" shapeId="0" xr:uid="{08F2336C-B1D5-4DD8-8735-B9BFCDF799E8}">
      <text>
        <r>
          <rPr>
            <sz val="11"/>
            <color theme="1"/>
            <rFont val="新細明體"/>
            <family val="2"/>
            <scheme val="minor"/>
          </rPr>
          <t>填寫規則：限8個字</t>
        </r>
      </text>
    </comment>
    <comment ref="I7" authorId="0" shapeId="0" xr:uid="{1AA5298D-CECE-4821-9896-9E91C5011756}">
      <text>
        <r>
          <rPr>
            <sz val="11"/>
            <color theme="1"/>
            <rFont val="新細明體"/>
            <family val="2"/>
            <scheme val="minor"/>
          </rPr>
          <t>填寫規則：限4+4個字</t>
        </r>
      </text>
    </comment>
    <comment ref="D8" authorId="0" shapeId="0" xr:uid="{D980EB07-E8AC-4D1F-ABC9-634643A79493}">
      <text>
        <r>
          <rPr>
            <sz val="11"/>
            <color theme="1"/>
            <rFont val="新細明體"/>
            <family val="2"/>
            <scheme val="minor"/>
          </rPr>
          <t>填寫規則：限10個字</t>
        </r>
      </text>
    </comment>
    <comment ref="I8" authorId="0" shapeId="0" xr:uid="{367E3F90-F200-4AFA-84F9-714D1B3DD1A5}">
      <text>
        <r>
          <rPr>
            <sz val="11"/>
            <color theme="1"/>
            <rFont val="新細明體"/>
            <family val="2"/>
            <scheme val="minor"/>
          </rPr>
          <t>填寫規則：限5個字</t>
        </r>
      </text>
    </comment>
    <comment ref="D9" authorId="0" shapeId="0" xr:uid="{BB176AFA-9A9C-482C-B062-6A61698A2E11}">
      <text>
        <r>
          <rPr>
            <sz val="11"/>
            <color theme="1"/>
            <rFont val="新細明體"/>
            <family val="2"/>
            <scheme val="minor"/>
          </rPr>
          <t>填寫規則：限5個字</t>
        </r>
      </text>
    </comment>
    <comment ref="I9" authorId="0" shapeId="0" xr:uid="{A3D1462C-89C0-4A8B-9EFC-C3F7103A0635}">
      <text>
        <r>
          <rPr>
            <sz val="11"/>
            <color theme="1"/>
            <rFont val="新細明體"/>
            <family val="2"/>
            <scheme val="minor"/>
          </rPr>
          <t>填寫規則：限3個字</t>
        </r>
      </text>
    </comment>
    <comment ref="D12" authorId="0" shapeId="0" xr:uid="{E98BC0BC-52F6-4DBB-AB26-7AD4AD76C939}">
      <text>
        <r>
          <rPr>
            <sz val="11"/>
            <color theme="1"/>
            <rFont val="新細明體"/>
            <family val="2"/>
            <scheme val="minor"/>
          </rPr>
          <t>填寫規則：促標最多7字內</t>
        </r>
      </text>
    </comment>
    <comment ref="L12" authorId="0" shapeId="0" xr:uid="{700876A8-6E5C-493E-9081-AC5A7EECFF04}">
      <text>
        <r>
          <rPr>
            <sz val="11"/>
            <color theme="1"/>
            <rFont val="新細明體"/>
            <family val="2"/>
            <scheme val="minor"/>
          </rPr>
          <t>填寫規則：(圖檔名)</t>
        </r>
      </text>
    </comment>
    <comment ref="D13" authorId="0" shapeId="0" xr:uid="{F2FB01B7-B50B-4340-AE3C-AB30F9108D17}">
      <text>
        <r>
          <rPr>
            <sz val="11"/>
            <color theme="1"/>
            <rFont val="新細明體"/>
            <family val="2"/>
            <scheme val="minor"/>
          </rPr>
          <t>填寫規則：品名一排最多8字</t>
        </r>
      </text>
    </comment>
    <comment ref="L13" authorId="0" shapeId="0" xr:uid="{CAC510E7-4F23-44A4-BA60-75AE60C17F6C}">
      <text>
        <r>
          <rPr>
            <sz val="11"/>
            <color theme="1"/>
            <rFont val="新細明體"/>
            <family val="2"/>
            <scheme val="minor"/>
          </rPr>
          <t>填寫規則：(圖檔名)</t>
        </r>
      </text>
    </comment>
    <comment ref="D14" authorId="0" shapeId="0" xr:uid="{EEAA7AD8-5B60-4382-9CCD-B692E3E64F09}">
      <text>
        <r>
          <rPr>
            <sz val="11"/>
            <color theme="1"/>
            <rFont val="新細明體"/>
            <family val="2"/>
            <scheme val="minor"/>
          </rPr>
          <t>填寫規則：品名一排最多8字</t>
        </r>
      </text>
    </comment>
    <comment ref="L14" authorId="0" shapeId="0" xr:uid="{07824B5D-EB61-4FD5-B40F-4764C700AA81}">
      <text>
        <r>
          <rPr>
            <sz val="11"/>
            <color theme="1"/>
            <rFont val="新細明體"/>
            <family val="2"/>
            <scheme val="minor"/>
          </rPr>
          <t>填寫規則：圓標05字內</t>
        </r>
      </text>
    </comment>
    <comment ref="D15" authorId="0" shapeId="0" xr:uid="{BF6A34BD-040F-4731-A85B-C79BE2AFD8AA}">
      <text>
        <r>
          <rPr>
            <sz val="11"/>
            <color theme="1"/>
            <rFont val="新細明體"/>
            <family val="2"/>
            <scheme val="minor"/>
          </rPr>
          <t>填寫規則：小字最多可9個字內</t>
        </r>
      </text>
    </comment>
    <comment ref="L15" authorId="0" shapeId="0" xr:uid="{4E57975A-066C-4CA4-BEBF-C0F8ACF86DC1}">
      <text>
        <r>
          <rPr>
            <sz val="11"/>
            <color theme="1"/>
            <rFont val="新細明體"/>
            <family val="2"/>
            <scheme val="minor"/>
          </rPr>
          <t>填寫規則：每行限5字</t>
        </r>
      </text>
    </comment>
    <comment ref="L16" authorId="0" shapeId="0" xr:uid="{BD2A8E4A-A134-4102-8E64-2C9033ED6AFE}">
      <text>
        <r>
          <rPr>
            <sz val="11"/>
            <color theme="1"/>
            <rFont val="新細明體"/>
            <family val="2"/>
            <scheme val="minor"/>
          </rPr>
          <t>填寫規則：每行限5字</t>
        </r>
      </text>
    </comment>
    <comment ref="L17" authorId="0" shapeId="0" xr:uid="{832EBAC0-4845-4A67-8605-F8ADED1444A6}">
      <text>
        <r>
          <rPr>
            <sz val="11"/>
            <color theme="1"/>
            <rFont val="新細明體"/>
            <family val="2"/>
            <scheme val="minor"/>
          </rPr>
          <t>填寫規則：(檔名)</t>
        </r>
      </text>
    </comment>
    <comment ref="L18" authorId="0" shapeId="0" xr:uid="{DB6D1DFB-E5A6-42EB-83C8-86CFB0046D3F}">
      <text>
        <r>
          <rPr>
            <sz val="11"/>
            <color theme="1"/>
            <rFont val="新細明體"/>
            <family val="2"/>
            <scheme val="minor"/>
          </rPr>
          <t>填寫規則：逛逛去</t>
        </r>
      </text>
    </comment>
    <comment ref="D21" authorId="0" shapeId="0" xr:uid="{1539F20F-B596-45F6-A98C-2D177C76DA4C}">
      <text>
        <r>
          <rPr>
            <sz val="11"/>
            <color theme="1"/>
            <rFont val="新細明體"/>
            <family val="2"/>
            <scheme val="minor"/>
          </rPr>
          <t>填寫規則：促標最多7字內</t>
        </r>
      </text>
    </comment>
    <comment ref="D22" authorId="0" shapeId="0" xr:uid="{00000000-0006-0000-0100-00001C000000}">
      <text>
        <r>
          <rPr>
            <sz val="11"/>
            <color theme="1"/>
            <rFont val="新細明體"/>
            <family val="2"/>
            <scheme val="minor"/>
          </rPr>
          <t>填寫規則：小字最多可10個字以內</t>
        </r>
      </text>
    </comment>
    <comment ref="D24" authorId="0" shapeId="0" xr:uid="{E4D4F21C-C7D0-4BA7-8E3D-9A60873D3B41}">
      <text>
        <r>
          <rPr>
            <sz val="11"/>
            <color theme="1"/>
            <rFont val="新細明體"/>
            <family val="2"/>
            <scheme val="minor"/>
          </rPr>
          <t>填寫規則：文案一排最多6字</t>
        </r>
      </text>
    </comment>
    <comment ref="L24" authorId="0" shapeId="0" xr:uid="{4974B5C8-6342-4022-BBC5-EEF7397EBDCF}">
      <text>
        <r>
          <rPr>
            <sz val="11"/>
            <color theme="1"/>
            <rFont val="新細明體"/>
            <family val="2"/>
            <scheme val="minor"/>
          </rPr>
          <t>填寫規則：文案一排最多6字</t>
        </r>
      </text>
    </comment>
    <comment ref="D25" authorId="0" shapeId="0" xr:uid="{A82D1940-F199-4E34-8B56-7FAAE301F63F}">
      <text>
        <r>
          <rPr>
            <sz val="11"/>
            <color theme="1"/>
            <rFont val="新細明體"/>
            <family val="2"/>
            <scheme val="minor"/>
          </rPr>
          <t>填寫規則：文案一排最多6字</t>
        </r>
      </text>
    </comment>
    <comment ref="L25" authorId="0" shapeId="0" xr:uid="{86D9E894-5578-4D7B-A761-3A9DEEBF44FD}">
      <text>
        <r>
          <rPr>
            <sz val="11"/>
            <color theme="1"/>
            <rFont val="新細明體"/>
            <family val="2"/>
            <scheme val="minor"/>
          </rPr>
          <t>填寫規則：文案一排最多6字</t>
        </r>
      </text>
    </comment>
    <comment ref="D32" authorId="0" shapeId="0" xr:uid="{17F8ABBE-658D-4C2D-8949-C77E143C3499}">
      <text>
        <r>
          <rPr>
            <sz val="11"/>
            <color theme="1"/>
            <rFont val="新細明體"/>
            <family val="2"/>
            <scheme val="minor"/>
          </rPr>
          <t>填寫規則：促標6個字內</t>
        </r>
      </text>
    </comment>
    <comment ref="H32" authorId="0" shapeId="0" xr:uid="{813D2EFF-C166-453D-BE4E-1D7A68E67410}">
      <text>
        <r>
          <rPr>
            <sz val="11"/>
            <color theme="1"/>
            <rFont val="新細明體"/>
            <family val="2"/>
            <scheme val="minor"/>
          </rPr>
          <t>填寫規則：促標6個字內</t>
        </r>
      </text>
    </comment>
    <comment ref="D33" authorId="0" shapeId="0" xr:uid="{55C0968B-4FBE-4D3A-8C8E-148004B98893}">
      <text>
        <r>
          <rPr>
            <sz val="11"/>
            <color theme="1"/>
            <rFont val="新細明體"/>
            <family val="2"/>
            <scheme val="minor"/>
          </rPr>
          <t>填寫規則：(圖檔名)</t>
        </r>
      </text>
    </comment>
    <comment ref="H33" authorId="0" shapeId="0" xr:uid="{0F5CB207-FA08-42E2-B07A-2F9FD4B0FA9E}">
      <text>
        <r>
          <rPr>
            <sz val="11"/>
            <color theme="1"/>
            <rFont val="新細明體"/>
            <family val="2"/>
            <scheme val="minor"/>
          </rPr>
          <t>填寫規則：(圖檔名)</t>
        </r>
      </text>
    </comment>
    <comment ref="D34" authorId="0" shapeId="0" xr:uid="{C008E7FD-7E85-4FC3-8EEB-3FD512E63FB0}">
      <text>
        <r>
          <rPr>
            <sz val="11"/>
            <color theme="1"/>
            <rFont val="新細明體"/>
            <family val="2"/>
            <scheme val="minor"/>
          </rPr>
          <t>填寫規則：品名一排最多8字</t>
        </r>
      </text>
    </comment>
    <comment ref="H34" authorId="0" shapeId="0" xr:uid="{047186B3-52AD-4FE0-808D-A9F9518BB27B}">
      <text>
        <r>
          <rPr>
            <sz val="11"/>
            <color theme="1"/>
            <rFont val="新細明體"/>
            <family val="2"/>
            <scheme val="minor"/>
          </rPr>
          <t>填寫規則：品名一排最多8字</t>
        </r>
      </text>
    </comment>
    <comment ref="D35" authorId="0" shapeId="0" xr:uid="{0E9E49DD-294F-4748-9FD0-1D033F5425A6}">
      <text>
        <r>
          <rPr>
            <sz val="11"/>
            <color theme="1"/>
            <rFont val="新細明體"/>
            <family val="2"/>
            <scheme val="minor"/>
          </rPr>
          <t>填寫規則：品名一排最多8字</t>
        </r>
      </text>
    </comment>
    <comment ref="H35" authorId="0" shapeId="0" xr:uid="{37F701C5-0F3E-4F2C-A08E-A44D56466C31}">
      <text>
        <r>
          <rPr>
            <sz val="11"/>
            <color theme="1"/>
            <rFont val="新細明體"/>
            <family val="2"/>
            <scheme val="minor"/>
          </rPr>
          <t>填寫規則：品名一排最多8字</t>
        </r>
      </text>
    </comment>
    <comment ref="D36" authorId="0" shapeId="0" xr:uid="{658A7DBC-2D29-4432-8BC1-EA0C53EA967A}">
      <text>
        <r>
          <rPr>
            <sz val="11"/>
            <color theme="1"/>
            <rFont val="新細明體"/>
            <family val="2"/>
            <scheme val="minor"/>
          </rPr>
          <t>填寫規則：圓標05字內</t>
        </r>
      </text>
    </comment>
    <comment ref="H36" authorId="0" shapeId="0" xr:uid="{1FFA2CA4-AAA7-4398-8B00-9657A32AF923}">
      <text>
        <r>
          <rPr>
            <sz val="11"/>
            <color theme="1"/>
            <rFont val="新細明體"/>
            <family val="2"/>
            <scheme val="minor"/>
          </rPr>
          <t>填寫規則：圓標05字內</t>
        </r>
      </text>
    </comment>
    <comment ref="D40" authorId="0" shapeId="0" xr:uid="{840623BC-A0E0-42A8-91CB-2CD35A8F4265}">
      <text>
        <r>
          <rPr>
            <sz val="11"/>
            <color theme="1"/>
            <rFont val="新細明體"/>
            <family val="2"/>
            <scheme val="minor"/>
          </rPr>
          <t>填寫規則：(圖檔名)</t>
        </r>
      </text>
    </comment>
    <comment ref="H40" authorId="0" shapeId="0" xr:uid="{8BF6072E-E4A2-44B4-B247-8A8565DD5688}">
      <text>
        <r>
          <rPr>
            <sz val="11"/>
            <color theme="1"/>
            <rFont val="新細明體"/>
            <family val="2"/>
            <scheme val="minor"/>
          </rPr>
          <t>填寫規則：(圖檔名)</t>
        </r>
      </text>
    </comment>
    <comment ref="L40" authorId="0" shapeId="0" xr:uid="{033EFA1E-F891-4E40-82FA-26CA5D840058}">
      <text>
        <r>
          <rPr>
            <sz val="11"/>
            <color theme="1"/>
            <rFont val="新細明體"/>
            <family val="2"/>
            <scheme val="minor"/>
          </rPr>
          <t>填寫規則：(圖檔名)</t>
        </r>
      </text>
    </comment>
    <comment ref="D41" authorId="0" shapeId="0" xr:uid="{780671E4-2613-446B-AF40-F0D62DF0A9D3}">
      <text>
        <r>
          <rPr>
            <sz val="11"/>
            <color theme="1"/>
            <rFont val="新細明體"/>
            <family val="2"/>
            <scheme val="minor"/>
          </rPr>
          <t>填寫規則：品名一排最多8字</t>
        </r>
      </text>
    </comment>
    <comment ref="H41" authorId="0" shapeId="0" xr:uid="{1322B85B-A236-4F71-8A5B-D8C13E1F6394}">
      <text>
        <r>
          <rPr>
            <sz val="11"/>
            <color theme="1"/>
            <rFont val="新細明體"/>
            <family val="2"/>
            <scheme val="minor"/>
          </rPr>
          <t>填寫規則：品名一排最多8字</t>
        </r>
      </text>
    </comment>
    <comment ref="L41" authorId="0" shapeId="0" xr:uid="{8215F455-4880-4087-94CE-5D26AA346655}">
      <text>
        <r>
          <rPr>
            <sz val="11"/>
            <color theme="1"/>
            <rFont val="新細明體"/>
            <family val="2"/>
            <scheme val="minor"/>
          </rPr>
          <t>填寫規則：品名一排最多8字</t>
        </r>
      </text>
    </comment>
    <comment ref="D42" authorId="0" shapeId="0" xr:uid="{45234033-8DA3-4B57-9DDA-62694A62ECFD}">
      <text>
        <r>
          <rPr>
            <sz val="11"/>
            <color theme="1"/>
            <rFont val="新細明體"/>
            <family val="2"/>
            <scheme val="minor"/>
          </rPr>
          <t>填寫規則：圓標05字內</t>
        </r>
      </text>
    </comment>
    <comment ref="H42" authorId="0" shapeId="0" xr:uid="{6959D9B2-625B-4538-83CA-A8DCADEE954A}">
      <text>
        <r>
          <rPr>
            <sz val="11"/>
            <color theme="1"/>
            <rFont val="新細明體"/>
            <family val="2"/>
            <scheme val="minor"/>
          </rPr>
          <t>填寫規則：圓標05字內</t>
        </r>
      </text>
    </comment>
    <comment ref="L42" authorId="0" shapeId="0" xr:uid="{BA83D75D-34A3-429D-A88C-54975B48D5E5}">
      <text>
        <r>
          <rPr>
            <sz val="11"/>
            <color theme="1"/>
            <rFont val="新細明體"/>
            <family val="2"/>
            <scheme val="minor"/>
          </rPr>
          <t>填寫規則：圓標05字內</t>
        </r>
      </text>
    </comment>
    <comment ref="E48" authorId="0" shapeId="0" xr:uid="{0246B02F-4AA3-4103-BC40-87BBADF692A5}">
      <text>
        <r>
          <rPr>
            <sz val="11"/>
            <color theme="1"/>
            <rFont val="新細明體"/>
            <family val="2"/>
            <scheme val="minor"/>
          </rPr>
          <t>Icon 與 Logo 二選一。請輸入素材庫名稱，例如：房子。</t>
        </r>
      </text>
    </comment>
    <comment ref="J48" authorId="0" shapeId="0" xr:uid="{00000000-0006-0000-0100-000035000000}">
      <text>
        <r>
          <rPr>
            <sz val="11"/>
            <color theme="1"/>
            <rFont val="新細明體"/>
            <family val="2"/>
            <scheme val="minor"/>
          </rPr>
          <t>Icon 與 Logo 二選一。請輸入素材庫名稱，例如：房子。</t>
        </r>
      </text>
    </comment>
    <comment ref="O48" authorId="0" shapeId="0" xr:uid="{00000000-0006-0000-0100-000036000000}">
      <text>
        <r>
          <rPr>
            <sz val="11"/>
            <color theme="1"/>
            <rFont val="新細明體"/>
            <family val="2"/>
            <scheme val="minor"/>
          </rPr>
          <t>Icon 與 Logo 二選一。請輸入素材庫名稱，例如：房子。</t>
        </r>
      </text>
    </comment>
    <comment ref="T48" authorId="0" shapeId="0" xr:uid="{00000000-0006-0000-0100-000037000000}">
      <text>
        <r>
          <rPr>
            <sz val="11"/>
            <color theme="1"/>
            <rFont val="新細明體"/>
            <family val="2"/>
            <scheme val="minor"/>
          </rPr>
          <t>Icon 與 Logo 二選一。請輸入素材庫名稱，例如：房子。</t>
        </r>
      </text>
    </comment>
    <comment ref="AB48" authorId="0" shapeId="0" xr:uid="{00000000-0006-0000-0100-000038000000}">
      <text>
        <r>
          <rPr>
            <sz val="11"/>
            <color theme="1"/>
            <rFont val="新細明體"/>
            <family val="2"/>
            <scheme val="minor"/>
          </rPr>
          <t>Icon 與 Logo 二選一。請輸入素材庫名稱，例如：房子。</t>
        </r>
      </text>
    </comment>
    <comment ref="E49" authorId="0" shapeId="0" xr:uid="{00000000-0006-0000-0100-000039000000}">
      <text>
        <r>
          <rPr>
            <sz val="11"/>
            <color theme="1"/>
            <rFont val="新細明體"/>
            <family val="2"/>
            <scheme val="minor"/>
          </rPr>
          <t>Icon 與 Logo 二選一。請輸入 Logo 圖檔名，例如：三星.png。</t>
        </r>
      </text>
    </comment>
    <comment ref="J49" authorId="0" shapeId="0" xr:uid="{A5393ADE-1DE2-4DAD-BAF1-5CFFB7E35150}">
      <text>
        <r>
          <rPr>
            <sz val="11"/>
            <color theme="1"/>
            <rFont val="新細明體"/>
            <family val="2"/>
            <scheme val="minor"/>
          </rPr>
          <t>Icon 與 Logo 二選一。請輸入 Logo 圖檔名，例如：三星.png。</t>
        </r>
      </text>
    </comment>
    <comment ref="O49" authorId="0" shapeId="0" xr:uid="{2F46E57A-6F97-4F35-8C50-FAB353F4FA33}">
      <text>
        <r>
          <rPr>
            <sz val="11"/>
            <color theme="1"/>
            <rFont val="新細明體"/>
            <family val="2"/>
            <scheme val="minor"/>
          </rPr>
          <t>Icon 與 Logo 二選一。請輸入 Logo 圖檔名，例如：三星.png。</t>
        </r>
      </text>
    </comment>
    <comment ref="T49" authorId="0" shapeId="0" xr:uid="{00000000-0006-0000-0100-00003C000000}">
      <text>
        <r>
          <rPr>
            <sz val="11"/>
            <color theme="1"/>
            <rFont val="新細明體"/>
            <family val="2"/>
            <scheme val="minor"/>
          </rPr>
          <t>Icon 與 Logo 二選一。請輸入 Logo 圖檔名，例如：三星.png。</t>
        </r>
      </text>
    </comment>
    <comment ref="AB49" authorId="0" shapeId="0" xr:uid="{00000000-0006-0000-0100-00003D000000}">
      <text>
        <r>
          <rPr>
            <sz val="11"/>
            <color theme="1"/>
            <rFont val="新細明體"/>
            <family val="2"/>
            <scheme val="minor"/>
          </rPr>
          <t>Icon 與 Logo 二選一。請輸入 Logo 圖檔名，例如：三星.png。</t>
        </r>
      </text>
    </comment>
    <comment ref="C50" authorId="0" shapeId="0" xr:uid="{00000000-0006-0000-0100-00003E000000}">
      <text>
        <r>
          <rPr>
            <sz val="11"/>
            <color theme="1"/>
            <rFont val="新細明體"/>
            <family val="2"/>
            <scheme val="minor"/>
          </rPr>
          <t>吸底文案最多 5 字；中文算 1，英數與半形符號算 0.5。</t>
        </r>
      </text>
    </comment>
    <comment ref="G50" authorId="0" shapeId="0" xr:uid="{00000000-0006-0000-0100-00003F000000}">
      <text>
        <r>
          <rPr>
            <sz val="11"/>
            <color theme="1"/>
            <rFont val="新細明體"/>
            <family val="2"/>
            <scheme val="minor"/>
          </rPr>
          <t>實際字數：中文 1 字；英數與半形符號 0.5 字；上限 5。</t>
        </r>
      </text>
    </comment>
    <comment ref="H50" authorId="0" shapeId="0" xr:uid="{00000000-0006-0000-0100-000040000000}">
      <text>
        <r>
          <rPr>
            <sz val="11"/>
            <color theme="1"/>
            <rFont val="新細明體"/>
            <family val="2"/>
            <scheme val="minor"/>
          </rPr>
          <t>吸底文案最多 5 字；中文算 1，英數與半形符號算 0.5。</t>
        </r>
      </text>
    </comment>
    <comment ref="L50" authorId="0" shapeId="0" xr:uid="{00000000-0006-0000-0100-000041000000}">
      <text>
        <r>
          <rPr>
            <sz val="11"/>
            <color theme="1"/>
            <rFont val="新細明體"/>
            <family val="2"/>
            <scheme val="minor"/>
          </rPr>
          <t>實際字數：中文 1 字；英數與半形符號 0.5 字；上限 5。</t>
        </r>
      </text>
    </comment>
    <comment ref="M50" authorId="0" shapeId="0" xr:uid="{387C8E80-F28E-4C16-AC30-A5B6E44029A6}">
      <text>
        <r>
          <rPr>
            <sz val="11"/>
            <color theme="1"/>
            <rFont val="新細明體"/>
            <family val="2"/>
            <scheme val="minor"/>
          </rPr>
          <t>吸底文案最多 5 字；中文算 1，英數與半形符號算 0.5。</t>
        </r>
      </text>
    </comment>
    <comment ref="Q50" authorId="0" shapeId="0" xr:uid="{00000000-0006-0000-0100-000043000000}">
      <text>
        <r>
          <rPr>
            <sz val="11"/>
            <color theme="1"/>
            <rFont val="新細明體"/>
            <family val="2"/>
            <scheme val="minor"/>
          </rPr>
          <t>實際字數：中文 1 字；英數與半形符號 0.5 字；上限 5。</t>
        </r>
      </text>
    </comment>
    <comment ref="R50" authorId="0" shapeId="0" xr:uid="{00000000-0006-0000-0100-000044000000}">
      <text>
        <r>
          <rPr>
            <sz val="11"/>
            <color theme="1"/>
            <rFont val="新細明體"/>
            <family val="2"/>
            <scheme val="minor"/>
          </rPr>
          <t>吸底文案最多 5 字；中文算 1，英數與半形符號算 0.5。</t>
        </r>
      </text>
    </comment>
    <comment ref="Y50" authorId="0" shapeId="0" xr:uid="{00000000-0006-0000-0100-000045000000}">
      <text>
        <r>
          <rPr>
            <sz val="11"/>
            <color theme="1"/>
            <rFont val="新細明體"/>
            <family val="2"/>
            <scheme val="minor"/>
          </rPr>
          <t>實際字數：中文 1 字；英數與半形符號 0.5 字；上限 5。</t>
        </r>
      </text>
    </comment>
    <comment ref="Z50" authorId="0" shapeId="0" xr:uid="{00000000-0006-0000-0100-000046000000}">
      <text>
        <r>
          <rPr>
            <sz val="11"/>
            <color theme="1"/>
            <rFont val="新細明體"/>
            <family val="2"/>
            <scheme val="minor"/>
          </rPr>
          <t>吸底文案最多 5 字；中文算 1，英數與半形符號算 0.5。</t>
        </r>
      </text>
    </comment>
    <comment ref="AG50" authorId="0" shapeId="0" xr:uid="{00000000-0006-0000-0100-000047000000}">
      <text>
        <r>
          <rPr>
            <sz val="11"/>
            <color theme="1"/>
            <rFont val="新細明體"/>
            <family val="2"/>
            <scheme val="minor"/>
          </rPr>
          <t>實際字數：中文 1 字；英數與半形符號 0.5 字；上限 5。</t>
        </r>
      </text>
    </comment>
  </commentList>
</comments>
</file>

<file path=xl/sharedStrings.xml><?xml version="1.0" encoding="utf-8"?>
<sst xmlns="http://schemas.openxmlformats.org/spreadsheetml/2006/main" count="1558" uniqueCount="485">
  <si>
    <t>BODA 工單總覽</t>
  </si>
  <si>
    <t>包套(等級)</t>
  </si>
  <si>
    <t>A Brand star (Mega) 資交</t>
  </si>
  <si>
    <t>MSBN 額度</t>
  </si>
  <si>
    <t>輸出時間</t>
  </si>
  <si>
    <t>負責人</t>
  </si>
  <si>
    <t/>
  </si>
  <si>
    <t>版本</t>
  </si>
  <si>
    <t>V1</t>
  </si>
  <si>
    <t>更新重點</t>
  </si>
  <si>
    <t>活動時間</t>
  </si>
  <si>
    <t>美術 Deadline</t>
  </si>
  <si>
    <t>總製作張數</t>
  </si>
  <si>
    <t>工作項目名稱</t>
  </si>
  <si>
    <t>行銷目標</t>
  </si>
  <si>
    <t>目標客群</t>
  </si>
  <si>
    <t>曝光資源共用文案與色彩</t>
  </si>
  <si>
    <t>背景顏色</t>
  </si>
  <si>
    <t>#26c6da</t>
  </si>
  <si>
    <t>連動規則</t>
  </si>
  <si>
    <t>與「曝光資源」背景色、匯入工單統一背景及 MSBN D 系列卡片背景同步；此處記錄匯出當下色號。</t>
  </si>
  <si>
    <t>品牌名</t>
  </si>
  <si>
    <t>上限 9</t>
  </si>
  <si>
    <t>曝光資源品牌名稱；中文 1、英數 0.5。</t>
  </si>
  <si>
    <t>主標</t>
  </si>
  <si>
    <t>上限 8</t>
  </si>
  <si>
    <t>曝光資源主標；中文 1、英數 0.5。</t>
  </si>
  <si>
    <t>副標</t>
  </si>
  <si>
    <t>上限 7</t>
  </si>
  <si>
    <t>曝光資源副標；中文 1、英數 0.5。</t>
  </si>
  <si>
    <t>日期／警語</t>
  </si>
  <si>
    <t>上限 14</t>
  </si>
  <si>
    <t>日期、活動期間或警語；中文 1、英數 0.5。</t>
  </si>
  <si>
    <t>ICON 獨立文案</t>
  </si>
  <si>
    <t>上限 2</t>
  </si>
  <si>
    <t>Search ICON 文字版；也可改用 LOGO／商品圖；中文 1、英數 0.5。</t>
  </si>
  <si>
    <t>製作曝光資源（依包套／等級自動切換；預設張數可手動調整，選配預設為 0）</t>
  </si>
  <si>
    <t>版位</t>
  </si>
  <si>
    <t>類型</t>
  </si>
  <si>
    <t>張數</t>
  </si>
  <si>
    <t>尺寸</t>
  </si>
  <si>
    <t>格式</t>
  </si>
  <si>
    <t>規範字數</t>
  </si>
  <si>
    <t>提醒</t>
  </si>
  <si>
    <t>系統排版</t>
  </si>
  <si>
    <t>Check</t>
  </si>
  <si>
    <t>本次工單版配（來源：工單生成器畫布；內容欄請至 MS Layout 填寫）</t>
  </si>
  <si>
    <t>版位名稱</t>
  </si>
  <si>
    <t>Band</t>
  </si>
  <si>
    <t>位置數</t>
  </si>
  <si>
    <t>素材檔案</t>
  </si>
  <si>
    <t>字數／欄位規則</t>
  </si>
  <si>
    <t>MS Layout</t>
  </si>
  <si>
    <t>副區</t>
  </si>
  <si>
    <t>副區 一排3（左／中／右）</t>
  </si>
  <si>
    <t>副區-A-2-1.jpg / 副區-A-4-1.jpg / 副區-B-4-4.jpg</t>
  </si>
  <si>
    <t>限8個字；(檔名/券名)；限10個字；限5個字；限4+4個字；限3個字</t>
  </si>
  <si>
    <t>綠色欄位可填；固定欄位已鎖</t>
  </si>
  <si>
    <t>第 3 列</t>
  </si>
  <si>
    <t>待填</t>
  </si>
  <si>
    <t>MSBN</t>
  </si>
  <si>
    <t>A-1-1</t>
  </si>
  <si>
    <t>MSBN-A-1-1.jpg</t>
  </si>
  <si>
    <t>促標最多7字內；品名一排最多8字；圓標05字內；小字最多可9個字內；逛逛去；每行限5字；(圖檔名)；(檔名)</t>
  </si>
  <si>
    <t>第 11 列</t>
  </si>
  <si>
    <t>C-1-3</t>
  </si>
  <si>
    <t>MSBN-C-1-3.jpg</t>
  </si>
  <si>
    <t>促標最多7字內；文案一排最多6字；小字最多可10個字以內</t>
  </si>
  <si>
    <t>第 20 列</t>
  </si>
  <si>
    <t>A-2-3</t>
  </si>
  <si>
    <t>MSBN-A-2-3.jpg</t>
  </si>
  <si>
    <t>促標6個字內；(圖檔名)；品名一排最多8字；圓標05字內</t>
  </si>
  <si>
    <t>第 31 列</t>
  </si>
  <si>
    <t>B-3-4</t>
  </si>
  <si>
    <t>MSBN-B-3-4.jpg</t>
  </si>
  <si>
    <t>(圖檔名)；品名一排7字內；警語最多放8個字</t>
  </si>
  <si>
    <t>第 39 列</t>
  </si>
  <si>
    <t>素材名稱</t>
  </si>
  <si>
    <t>版位／規格</t>
  </si>
  <si>
    <t>Layout（綠色欄位可填；固定欄位與規則已鎖定）</t>
  </si>
  <si>
    <t>視覺參考（目前系統實際版位）</t>
  </si>
  <si>
    <t>中文 1 字、英數與半形符號 0.5 字；純數字自動以 $／千分位顯示；匯入 BODA 後混合文案也會整理；禁用語會阻擋並標紅</t>
  </si>
  <si>
    <t>圖片僅供版配與欄位位置對照，不代表最終正式稿</t>
  </si>
  <si>
    <t>副區 一排3（左／中／右）
左：款式 2-1（A-2-1）
中：款式 4-1（A-4-1）
右：款式 4-4（B-4-4）
Band 1</t>
  </si>
  <si>
    <t>左</t>
  </si>
  <si>
    <t>中</t>
  </si>
  <si>
    <t>右</t>
  </si>
  <si>
    <t>促標</t>
  </si>
  <si>
    <t>LOGO圖</t>
  </si>
  <si>
    <t>商品 (多圖用逗號分開)</t>
  </si>
  <si>
    <t>CTA</t>
  </si>
  <si>
    <t>品名</t>
  </si>
  <si>
    <t>警語</t>
  </si>
  <si>
    <t>圓標</t>
  </si>
  <si>
    <t>A-1-1
MSBN-A-1-1
Band 2</t>
  </si>
  <si>
    <t>左右</t>
  </si>
  <si>
    <t>代言人圖</t>
  </si>
  <si>
    <t>簽名小字</t>
  </si>
  <si>
    <t>簽名圖</t>
  </si>
  <si>
    <t>CTA (放03字)</t>
  </si>
  <si>
    <t>C-1-3
MSBN-C-1-3
Band 3</t>
  </si>
  <si>
    <t>分欄</t>
  </si>
  <si>
    <t>文案</t>
  </si>
  <si>
    <t>A-2-3
MSBN-A-2-3
Band 4</t>
  </si>
  <si>
    <t>—</t>
  </si>
  <si>
    <t>B-3-4
MSBN-B-3-4
Band 5</t>
  </si>
  <si>
    <t>商品圖</t>
  </si>
  <si>
    <t>第1顆</t>
  </si>
  <si>
    <t>第2顆</t>
  </si>
  <si>
    <t>第3顆</t>
  </si>
  <si>
    <t>第4顆</t>
  </si>
  <si>
    <t>第5顆</t>
  </si>
  <si>
    <t>吸底圖</t>
  </si>
  <si>
    <t>填你要的資訊
最少2格、最多5格
（不要的不填即可）</t>
  </si>
  <si>
    <t>Icon與Logo
2選1填即可</t>
  </si>
  <si>
    <t>Icon</t>
  </si>
  <si>
    <t>(輸入許願的Icon，例：房子)</t>
  </si>
  <si>
    <t>(需要再填即可)</t>
  </si>
  <si>
    <t>Logo</t>
  </si>
  <si>
    <t>(輸入圖檔名，例：三星.png)</t>
  </si>
  <si>
    <t>等級</t>
  </si>
  <si>
    <t>MSBN額度</t>
  </si>
  <si>
    <t>資源1</t>
  </si>
  <si>
    <t>資源2</t>
  </si>
  <si>
    <t>資源3</t>
  </si>
  <si>
    <t>資源4</t>
  </si>
  <si>
    <t>資源5</t>
  </si>
  <si>
    <t>資源6</t>
  </si>
  <si>
    <t>資源7</t>
  </si>
  <si>
    <t>資源8</t>
  </si>
  <si>
    <t>資源9</t>
  </si>
  <si>
    <t>資源10</t>
  </si>
  <si>
    <t>資源11</t>
  </si>
  <si>
    <t>資源12</t>
  </si>
  <si>
    <t>類型1</t>
  </si>
  <si>
    <t>類型2</t>
  </si>
  <si>
    <t>類型3</t>
  </si>
  <si>
    <t>類型4</t>
  </si>
  <si>
    <t>類型5</t>
  </si>
  <si>
    <t>類型6</t>
  </si>
  <si>
    <t>類型7</t>
  </si>
  <si>
    <t>類型8</t>
  </si>
  <si>
    <t>類型9</t>
  </si>
  <si>
    <t>類型10</t>
  </si>
  <si>
    <t>類型11</t>
  </si>
  <si>
    <t>類型12</t>
  </si>
  <si>
    <t>key</t>
  </si>
  <si>
    <t>顯示名稱</t>
  </si>
  <si>
    <t>可用</t>
  </si>
  <si>
    <t>A Brand star (Mega)</t>
  </si>
  <si>
    <t>DDCard</t>
  </si>
  <si>
    <t>DD Card BN (APP)</t>
  </si>
  <si>
    <t>531×792</t>
  </si>
  <si>
    <t>JPG</t>
  </si>
  <si>
    <t>品牌名≤9；主標≤8；副標≤7；日期/警語≤14</t>
  </si>
  <si>
    <t>LOGO、商品圖；CTA 依版型</t>
  </si>
  <si>
    <t>ddcard方logo／ddcard橫logo</t>
  </si>
  <si>
    <t>是</t>
  </si>
  <si>
    <t>HBN</t>
  </si>
  <si>
    <t>HBN (PC)</t>
  </si>
  <si>
    <t>1200×360</t>
  </si>
  <si>
    <t>橫式或方形 LOGO 版</t>
  </si>
  <si>
    <t>HBN_橫式LOGO／HBN_方式LOGO</t>
  </si>
  <si>
    <t>A 精選套裝</t>
  </si>
  <si>
    <t>活動總覽</t>
  </si>
  <si>
    <t>依活動規格</t>
  </si>
  <si>
    <t>JPG/PNG</t>
  </si>
  <si>
    <t>依活動需求</t>
  </si>
  <si>
    <t>目前系統尚未提供可編輯版型</t>
  </si>
  <si>
    <t>尚未提供版型</t>
  </si>
  <si>
    <t>否</t>
  </si>
  <si>
    <t>A 品牌旗艦MDD</t>
  </si>
  <si>
    <t>首頁LOGO牆</t>
  </si>
  <si>
    <t>首頁 LOGO 牆</t>
  </si>
  <si>
    <t>LOGO 依活動規範</t>
  </si>
  <si>
    <t>A 品牌旗艦MDD 資交</t>
  </si>
  <si>
    <t>AR</t>
  </si>
  <si>
    <t>100×100（依規範）</t>
  </si>
  <si>
    <t>文案≤6 或 LOGO；2擇1</t>
  </si>
  <si>
    <t>B+ BOD A</t>
  </si>
  <si>
    <t>FB_Post</t>
  </si>
  <si>
    <t>AMS BN</t>
  </si>
  <si>
    <t>Coin_page</t>
  </si>
  <si>
    <t>IG</t>
  </si>
  <si>
    <t>SearchIcon</t>
  </si>
  <si>
    <t>SearchImage</t>
  </si>
  <si>
    <t>預設</t>
  </si>
  <si>
    <t>選配</t>
  </si>
  <si>
    <t>FB POST</t>
  </si>
  <si>
    <t>1200×630</t>
  </si>
  <si>
    <t>方 LOGO／橫 LOGO</t>
  </si>
  <si>
    <t>FB_POST_方LOGO／FB_POST_橫LOGO</t>
  </si>
  <si>
    <t>B+ BOD A 資交</t>
  </si>
  <si>
    <t>1077×264（依規範）</t>
  </si>
  <si>
    <t>依 AMS 規格</t>
  </si>
  <si>
    <t>B+ BOD B (Mega)</t>
  </si>
  <si>
    <t>Coin Page BN</t>
  </si>
  <si>
    <t>1200×391</t>
  </si>
  <si>
    <t>Coin_pageBN_APP方LOGO／Coin_pageBN_APP橫LOGO</t>
  </si>
  <si>
    <t>B+ 基礎套裝</t>
  </si>
  <si>
    <t>900×1600</t>
  </si>
  <si>
    <t>IG方logo排版／IG橫logo排版</t>
  </si>
  <si>
    <t>B JBP多店</t>
  </si>
  <si>
    <t>SCPN</t>
  </si>
  <si>
    <t>Search ICON</t>
  </si>
  <si>
    <t>120×120＋84×84</t>
  </si>
  <si>
    <t>PNG</t>
  </si>
  <si>
    <t>ICON 文案≤2；或 LOGO／商品圖</t>
  </si>
  <si>
    <t>120×120 建議 &lt;50KB，另輸出 84×84</t>
  </si>
  <si>
    <t>SearchICON_LOGO／PRODUCT／TEXT</t>
  </si>
  <si>
    <t>B 金牌 (Mega)</t>
  </si>
  <si>
    <t>Search Image</t>
  </si>
  <si>
    <t>1125×156</t>
  </si>
  <si>
    <t>副標≤7；LOGO 1～3 個</t>
  </si>
  <si>
    <t>依選用版型提供 1～3 個 LOGO</t>
  </si>
  <si>
    <t>Search_Image1logo／2logo／3logo</t>
  </si>
  <si>
    <t>SCBN／SCPN</t>
  </si>
  <si>
    <t>1200×200</t>
  </si>
  <si>
    <t>品牌名≤9；副標≤7；CTA</t>
  </si>
  <si>
    <t>商城橫幅</t>
  </si>
  <si>
    <t>SCBN_APP</t>
  </si>
  <si>
    <t>BODA_WORKORDER_V2</t>
  </si>
  <si>
    <t>kind</t>
  </si>
  <si>
    <t>sourceKey</t>
  </si>
  <si>
    <t>band</t>
  </si>
  <si>
    <t>order</t>
  </si>
  <si>
    <t>family</t>
  </si>
  <si>
    <t>variant</t>
  </si>
  <si>
    <t>combo</t>
  </si>
  <si>
    <t>msbnFile</t>
  </si>
  <si>
    <t>position</t>
  </si>
  <si>
    <t>label</t>
  </si>
  <si>
    <t>address</t>
  </si>
  <si>
    <t>header</t>
  </si>
  <si>
    <t>file</t>
  </si>
  <si>
    <t>locked</t>
  </si>
  <si>
    <t>hint</t>
  </si>
  <si>
    <t>targetKey</t>
  </si>
  <si>
    <t>subarea</t>
  </si>
  <si>
    <t>top:0</t>
  </si>
  <si>
    <t>A</t>
  </si>
  <si>
    <t>D4</t>
  </si>
  <si>
    <t>款式 2-1</t>
  </si>
  <si>
    <t>副區-A-2-1.jpg</t>
  </si>
  <si>
    <t>限8個字</t>
  </si>
  <si>
    <t>D5</t>
  </si>
  <si>
    <t>(檔名/券名)</t>
  </si>
  <si>
    <t>商品</t>
  </si>
  <si>
    <t>D6</t>
  </si>
  <si>
    <t>D7</t>
  </si>
  <si>
    <t>D8</t>
  </si>
  <si>
    <t>限10個字</t>
  </si>
  <si>
    <t>D9</t>
  </si>
  <si>
    <t>限5個字</t>
  </si>
  <si>
    <t>top:1</t>
  </si>
  <si>
    <t>I4</t>
  </si>
  <si>
    <t>款式 4-1</t>
  </si>
  <si>
    <t>副區-A-4-1.jpg</t>
  </si>
  <si>
    <t>I5</t>
  </si>
  <si>
    <t>I6</t>
  </si>
  <si>
    <t>I7</t>
  </si>
  <si>
    <t>限4+4個字</t>
  </si>
  <si>
    <t>I8</t>
  </si>
  <si>
    <t>I9</t>
  </si>
  <si>
    <t>限3個字</t>
  </si>
  <si>
    <t>top:2</t>
  </si>
  <si>
    <t>B</t>
  </si>
  <si>
    <t>N4</t>
  </si>
  <si>
    <t>款式 4-4</t>
  </si>
  <si>
    <t>副區-B-4-4.jpg</t>
  </si>
  <si>
    <t>N5</t>
  </si>
  <si>
    <t>N6</t>
  </si>
  <si>
    <t>msbn</t>
  </si>
  <si>
    <t>msbn:0</t>
  </si>
  <si>
    <t>D12</t>
  </si>
  <si>
    <t>促標最多7字內</t>
  </si>
  <si>
    <t>L12</t>
  </si>
  <si>
    <t>(圖檔名)</t>
  </si>
  <si>
    <t>D13</t>
  </si>
  <si>
    <t>品名一排最多8字</t>
  </si>
  <si>
    <t>L13</t>
  </si>
  <si>
    <t>D14</t>
  </si>
  <si>
    <t>L14</t>
  </si>
  <si>
    <t>圓標05字內</t>
  </si>
  <si>
    <t>D15</t>
  </si>
  <si>
    <t>小字最多可9個字內</t>
  </si>
  <si>
    <t>L15</t>
  </si>
  <si>
    <t>每行限5字</t>
  </si>
  <si>
    <t>L16</t>
  </si>
  <si>
    <t>L17</t>
  </si>
  <si>
    <t>(檔名)</t>
  </si>
  <si>
    <t>L18</t>
  </si>
  <si>
    <t>逛逛去</t>
  </si>
  <si>
    <t>msbn:1</t>
  </si>
  <si>
    <t>D21</t>
  </si>
  <si>
    <t>promo</t>
  </si>
  <si>
    <t>D22</t>
  </si>
  <si>
    <t>小字最多可10個字以內</t>
  </si>
  <si>
    <t>warn</t>
  </si>
  <si>
    <t>D24</t>
  </si>
  <si>
    <t>文案一排最多6字</t>
  </si>
  <si>
    <t>copy2</t>
  </si>
  <si>
    <t>L24</t>
  </si>
  <si>
    <t>copy</t>
  </si>
  <si>
    <t>D25</t>
  </si>
  <si>
    <t>L25</t>
  </si>
  <si>
    <t>msbn:2</t>
  </si>
  <si>
    <t>D32</t>
  </si>
  <si>
    <t>促標6個字內</t>
  </si>
  <si>
    <t>D33</t>
  </si>
  <si>
    <t>D34</t>
  </si>
  <si>
    <t>D35</t>
  </si>
  <si>
    <t>D36</t>
  </si>
  <si>
    <t>H32</t>
  </si>
  <si>
    <t>H33</t>
  </si>
  <si>
    <t>H34</t>
  </si>
  <si>
    <t>H35</t>
  </si>
  <si>
    <t>H36</t>
  </si>
  <si>
    <t>msbn:3</t>
  </si>
  <si>
    <t>D40</t>
  </si>
  <si>
    <t>D41</t>
  </si>
  <si>
    <t>品名一排7字內</t>
  </si>
  <si>
    <t>D42</t>
  </si>
  <si>
    <t>警語最多放8個字</t>
  </si>
  <si>
    <t>H40</t>
  </si>
  <si>
    <t>H41</t>
  </si>
  <si>
    <t>H42</t>
  </si>
  <si>
    <t>L40</t>
  </si>
  <si>
    <t>L41</t>
  </si>
  <si>
    <t>L42</t>
  </si>
  <si>
    <t>BODA_BOTTOM_V1</t>
  </si>
  <si>
    <t>group</t>
  </si>
  <si>
    <t>title</t>
  </si>
  <si>
    <t>iconAddress</t>
  </si>
  <si>
    <t>logoAddress</t>
  </si>
  <si>
    <t>textAddress</t>
  </si>
  <si>
    <t>countAddress</t>
  </si>
  <si>
    <t>optional</t>
  </si>
  <si>
    <t>E48</t>
  </si>
  <si>
    <t>E49</t>
  </si>
  <si>
    <t>C50</t>
  </si>
  <si>
    <t>G50</t>
  </si>
  <si>
    <t>J48</t>
  </si>
  <si>
    <t>J49</t>
  </si>
  <si>
    <t>H50</t>
  </si>
  <si>
    <t>L50</t>
  </si>
  <si>
    <t>O48</t>
  </si>
  <si>
    <t>O49</t>
  </si>
  <si>
    <t>M50</t>
  </si>
  <si>
    <t>Q50</t>
  </si>
  <si>
    <t>T48</t>
  </si>
  <si>
    <t>T49</t>
  </si>
  <si>
    <t>R50</t>
  </si>
  <si>
    <t>Y50</t>
  </si>
  <si>
    <t>AB48</t>
  </si>
  <si>
    <t>AB49</t>
  </si>
  <si>
    <t>Z50</t>
  </si>
  <si>
    <t>AG50</t>
  </si>
  <si>
    <t>keyword</t>
  </si>
  <si>
    <t>replacement</t>
  </si>
  <si>
    <t>action</t>
  </si>
  <si>
    <t>撒</t>
  </si>
  <si>
    <t>自動改成"灑"</t>
  </si>
  <si>
    <t>replace</t>
  </si>
  <si>
    <t>購物金</t>
  </si>
  <si>
    <t>自動改成"優惠券"</t>
  </si>
  <si>
    <t>抵用券</t>
  </si>
  <si>
    <t>折價券</t>
  </si>
  <si>
    <t>蝦皮券</t>
  </si>
  <si>
    <t>蝦幣券</t>
  </si>
  <si>
    <t>折扣券</t>
  </si>
  <si>
    <t>$蝦幣</t>
  </si>
  <si>
    <t>自動改成"蝦幣"</t>
  </si>
  <si>
    <t>蝦幣$</t>
  </si>
  <si>
    <t>\$\d+\s*蝦幣</t>
  </si>
  <si>
    <t>元</t>
  </si>
  <si>
    <t>直接無法輸入</t>
  </si>
  <si>
    <t>block</t>
  </si>
  <si>
    <t>蝦幣*元</t>
  </si>
  <si>
    <t>*元蝦幣</t>
  </si>
  <si>
    <t>*倍蝦幣</t>
  </si>
  <si>
    <t>賺</t>
  </si>
  <si>
    <t>賺取</t>
  </si>
  <si>
    <t>賣蝦幣</t>
  </si>
  <si>
    <t>up</t>
  </si>
  <si>
    <t>自動改成"起"</t>
  </si>
  <si>
    <t>商城狂購節</t>
  </si>
  <si>
    <t>蝦皮吃貨節</t>
  </si>
  <si>
    <t>蝦皮中元節</t>
  </si>
  <si>
    <t>蝦皮時尚週</t>
  </si>
  <si>
    <t>18號</t>
  </si>
  <si>
    <t>25號</t>
  </si>
  <si>
    <t>18節</t>
  </si>
  <si>
    <t>25節</t>
  </si>
  <si>
    <t>最強</t>
  </si>
  <si>
    <t>自動改成"超"</t>
  </si>
  <si>
    <t>最便宜</t>
  </si>
  <si>
    <t>最低價</t>
  </si>
  <si>
    <t>最優惠</t>
  </si>
  <si>
    <t>最大牌</t>
  </si>
  <si>
    <t>最佳</t>
  </si>
  <si>
    <t>最大品牌</t>
  </si>
  <si>
    <t>效果最好</t>
  </si>
  <si>
    <t>年度最強</t>
  </si>
  <si>
    <t>最划算</t>
  </si>
  <si>
    <t>競網最便宜</t>
  </si>
  <si>
    <t>獨家</t>
  </si>
  <si>
    <t>第一</t>
  </si>
  <si>
    <t>No1</t>
  </si>
  <si>
    <t>No.1</t>
  </si>
  <si>
    <t>No,1</t>
  </si>
  <si>
    <t>專屬</t>
  </si>
  <si>
    <t>自動改成"限定"</t>
  </si>
  <si>
    <t>VIP</t>
  </si>
  <si>
    <t>拚</t>
  </si>
  <si>
    <t>自動改成"拼"</t>
  </si>
  <si>
    <t>卷</t>
  </si>
  <si>
    <t>自動改成"券"</t>
  </si>
  <si>
    <t>周</t>
  </si>
  <si>
    <t>自動改成"週"</t>
  </si>
  <si>
    <t>千</t>
  </si>
  <si>
    <t>仟</t>
  </si>
  <si>
    <t>百</t>
  </si>
  <si>
    <t>~</t>
  </si>
  <si>
    <t>自動改成"-"</t>
  </si>
  <si>
    <t>!</t>
  </si>
  <si>
    <t>?</t>
  </si>
  <si>
    <t>=+</t>
  </si>
  <si>
    <t>.</t>
  </si>
  <si>
    <t>"</t>
  </si>
  <si>
    <t>一</t>
  </si>
  <si>
    <t>自動改成"1"</t>
  </si>
  <si>
    <t>二</t>
  </si>
  <si>
    <t>自動改成"2"</t>
  </si>
  <si>
    <t>三</t>
  </si>
  <si>
    <t>自動改成"3"</t>
  </si>
  <si>
    <t>四</t>
  </si>
  <si>
    <t>自動改成"4"</t>
  </si>
  <si>
    <t>五</t>
  </si>
  <si>
    <t>自動改成"5"</t>
  </si>
  <si>
    <t>六</t>
  </si>
  <si>
    <t>自動改成"6"</t>
  </si>
  <si>
    <t>七</t>
  </si>
  <si>
    <t>自動改成"7"</t>
  </si>
  <si>
    <t>八</t>
  </si>
  <si>
    <t>自動改成"8"</t>
  </si>
  <si>
    <t>九</t>
  </si>
  <si>
    <t>自動改成"9"</t>
  </si>
  <si>
    <t>十</t>
  </si>
  <si>
    <t>自動改成"10"</t>
  </si>
  <si>
    <t>劵</t>
  </si>
  <si>
    <t>兩</t>
  </si>
  <si>
    <t>滿200送20</t>
    <phoneticPr fontId="19" type="noConversion"/>
  </si>
  <si>
    <t>SAMPO 640X360-Photoroom.png</t>
    <phoneticPr fontId="19" type="noConversion"/>
  </si>
  <si>
    <t>1-(4)-(1).jpg,1.png</t>
    <phoneticPr fontId="19" type="noConversion"/>
  </si>
  <si>
    <r>
      <t>100W</t>
    </r>
    <r>
      <rPr>
        <sz val="10"/>
        <color rgb="FF0000FF"/>
        <rFont val="細明體"/>
        <family val="3"/>
        <charset val="136"/>
      </rPr>
      <t>超快速變壓器</t>
    </r>
    <phoneticPr fontId="19" type="noConversion"/>
  </si>
  <si>
    <t>數量有限，送完為止</t>
    <phoneticPr fontId="19" type="noConversion"/>
  </si>
  <si>
    <t>下殺5折</t>
    <phoneticPr fontId="19" type="noConversion"/>
  </si>
  <si>
    <r>
      <rPr>
        <sz val="10"/>
        <color rgb="FF0000FF"/>
        <rFont val="微軟正黑體"/>
        <family val="2"/>
        <charset val="136"/>
      </rPr>
      <t>滿</t>
    </r>
    <r>
      <rPr>
        <sz val="10"/>
        <color rgb="FF0000FF"/>
        <rFont val="Arial"/>
        <family val="2"/>
      </rPr>
      <t>300</t>
    </r>
    <r>
      <rPr>
        <sz val="10"/>
        <color rgb="FF0000FF"/>
        <rFont val="微軟正黑體"/>
        <family val="2"/>
        <charset val="136"/>
      </rPr>
      <t>送</t>
    </r>
    <r>
      <rPr>
        <sz val="10"/>
        <color rgb="FF0000FF"/>
        <rFont val="Arial"/>
        <family val="2"/>
      </rPr>
      <t>20</t>
    </r>
    <phoneticPr fontId="19" type="noConversion"/>
  </si>
  <si>
    <r>
      <t xml:space="preserve">vivo </t>
    </r>
    <r>
      <rPr>
        <sz val="10"/>
        <color rgb="FF0000FF"/>
        <rFont val="細明體"/>
        <family val="3"/>
        <charset val="136"/>
      </rPr>
      <t>标志（</t>
    </r>
    <r>
      <rPr>
        <sz val="10"/>
        <color rgb="FF0000FF"/>
        <rFont val="Arial"/>
        <family val="2"/>
      </rPr>
      <t>RGB).jpg</t>
    </r>
    <phoneticPr fontId="19" type="noConversion"/>
  </si>
  <si>
    <t>2026-05-19 11 49 59-Photoroom.png</t>
    <phoneticPr fontId="19" type="noConversion"/>
  </si>
  <si>
    <t>抗震耳機</t>
    <phoneticPr fontId="19" type="noConversion"/>
  </si>
  <si>
    <t>只限今日</t>
  </si>
  <si>
    <t>逛逛去</t>
    <phoneticPr fontId="19" type="noConversion"/>
  </si>
  <si>
    <t>買一送一</t>
    <phoneticPr fontId="19" type="noConversion"/>
  </si>
  <si>
    <t>2-(4)-Photoroom.png</t>
    <phoneticPr fontId="19" type="noConversion"/>
  </si>
  <si>
    <t>滿200送20</t>
  </si>
  <si>
    <t>100W超快速變壓器</t>
  </si>
  <si>
    <r>
      <t>512GB</t>
    </r>
    <r>
      <rPr>
        <sz val="10"/>
        <color rgb="FF0000FF"/>
        <rFont val="細明體"/>
        <family val="3"/>
        <charset val="136"/>
      </rPr>
      <t>高容量</t>
    </r>
    <phoneticPr fontId="19" type="noConversion"/>
  </si>
  <si>
    <t>數量有限，送完為止</t>
  </si>
  <si>
    <t>1-(4)-(1).jpg,1.png</t>
  </si>
  <si>
    <r>
      <rPr>
        <sz val="10"/>
        <color rgb="FF0000FF"/>
        <rFont val="細明體"/>
        <family val="2"/>
        <charset val="136"/>
      </rPr>
      <t>代言人照片</t>
    </r>
    <r>
      <rPr>
        <sz val="10"/>
        <color rgb="FF0000FF"/>
        <rFont val="Arial"/>
        <family val="2"/>
      </rPr>
      <t>.png</t>
    </r>
    <phoneticPr fontId="19" type="noConversion"/>
  </si>
  <si>
    <t>下殺5折</t>
  </si>
  <si>
    <t>張惠妹推薦</t>
    <phoneticPr fontId="19" type="noConversion"/>
  </si>
  <si>
    <r>
      <rPr>
        <sz val="10"/>
        <color rgb="FF0000FF"/>
        <rFont val="細明體"/>
        <family val="3"/>
        <charset val="136"/>
      </rPr>
      <t>簽名檔</t>
    </r>
    <r>
      <rPr>
        <sz val="10"/>
        <color rgb="FF0000FF"/>
        <rFont val="Arial"/>
        <family val="2"/>
      </rPr>
      <t>.png</t>
    </r>
    <phoneticPr fontId="19" type="noConversion"/>
  </si>
  <si>
    <t>再享88折</t>
    <phoneticPr fontId="19" type="noConversion"/>
  </si>
  <si>
    <t>512GB高容量</t>
  </si>
  <si>
    <r>
      <t>100W</t>
    </r>
    <r>
      <rPr>
        <sz val="10"/>
        <color rgb="FF0000FF"/>
        <rFont val="微軟正黑體"/>
        <family val="2"/>
        <charset val="136"/>
      </rPr>
      <t>變壓器</t>
    </r>
    <phoneticPr fontId="19" type="noConversion"/>
  </si>
  <si>
    <r>
      <t xml:space="preserve">Plainme_YOBI </t>
    </r>
    <r>
      <rPr>
        <sz val="10"/>
        <color rgb="FF0000FF"/>
        <rFont val="微軟正黑體"/>
        <family val="2"/>
        <charset val="136"/>
      </rPr>
      <t>連帽外套</t>
    </r>
    <r>
      <rPr>
        <sz val="10"/>
        <color rgb="FF0000FF"/>
        <rFont val="Arial"/>
        <family val="2"/>
      </rPr>
      <t xml:space="preserve"> _1.jpg</t>
    </r>
    <phoneticPr fontId="19" type="noConversion"/>
  </si>
  <si>
    <t>主會場</t>
    <phoneticPr fontId="19" type="noConversion"/>
  </si>
  <si>
    <r>
      <t>Dyson_Logo480x360</t>
    </r>
    <r>
      <rPr>
        <i/>
        <sz val="9"/>
        <color rgb="FF0000FF"/>
        <rFont val="細明體"/>
        <family val="3"/>
        <charset val="136"/>
      </rPr>
      <t>去背版</t>
    </r>
    <r>
      <rPr>
        <i/>
        <sz val="9"/>
        <color rgb="FF0000FF"/>
        <rFont val="Arial"/>
        <family val="2"/>
      </rPr>
      <t>.png</t>
    </r>
    <phoneticPr fontId="19" type="noConversion"/>
  </si>
  <si>
    <t>房子</t>
    <phoneticPr fontId="19" type="noConversion"/>
  </si>
  <si>
    <t>Dyson</t>
  </si>
  <si>
    <t>Dyson</t>
    <phoneticPr fontId="19" type="noConversion"/>
  </si>
  <si>
    <t>Dyson_Logo480x360去背版.png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</si>
</sst>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\ hh:mm"/>
    <numFmt numFmtId="177" formatCode="\$#,##0"/>
    <numFmt numFmtId="178" formatCode="0.0;\-0.0;0"/>
  </numFmts>
  <fonts count="26" x14ac:knownFonts="1">
    <font>
      <sz val="11"/>
      <color theme="1"/>
      <name val="新細明體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0"/>
      <color rgb="FF008000"/>
      <name val="Arial"/>
    </font>
    <font>
      <sz val="9"/>
      <color rgb="FF666666"/>
      <name val="Arial"/>
    </font>
    <font>
      <b/>
      <sz val="11"/>
      <color rgb="FFFFFFFF"/>
      <name val="Arial"/>
    </font>
    <font>
      <b/>
      <sz val="10"/>
      <color rgb="FF171717"/>
      <name val="Arial"/>
    </font>
    <font>
      <sz val="9"/>
      <color rgb="FF171717"/>
      <name val="Arial"/>
    </font>
    <font>
      <sz val="9"/>
      <color rgb="FF008000"/>
      <name val="Arial"/>
    </font>
    <font>
      <b/>
      <sz val="9"/>
      <color rgb="FF0000FF"/>
      <name val="Arial"/>
    </font>
    <font>
      <sz val="8.5"/>
      <color rgb="FF171717"/>
      <name val="Arial"/>
    </font>
    <font>
      <sz val="9"/>
      <color rgb="FFFFFFFF"/>
      <name val="Arial"/>
    </font>
    <font>
      <b/>
      <sz val="9"/>
      <color rgb="FFFFFFFF"/>
      <name val="Arial"/>
    </font>
    <font>
      <b/>
      <sz val="9.5"/>
      <color rgb="FF171717"/>
      <name val="Arial"/>
    </font>
    <font>
      <sz val="11"/>
      <color rgb="FF666666"/>
      <name val="Arial"/>
    </font>
    <font>
      <i/>
      <sz val="9"/>
      <color rgb="FF0000FF"/>
      <name val="Arial"/>
    </font>
    <font>
      <i/>
      <sz val="9"/>
      <color rgb="FF666666"/>
      <name val="Arial"/>
    </font>
    <font>
      <sz val="10"/>
      <color rgb="FF0000FF"/>
      <name val="細明體"/>
      <family val="3"/>
      <charset val="136"/>
    </font>
    <font>
      <sz val="9"/>
      <name val="新細明體"/>
      <family val="3"/>
      <charset val="136"/>
      <scheme val="minor"/>
    </font>
    <font>
      <sz val="10"/>
      <color rgb="FF0000FF"/>
      <name val="Arial"/>
      <family val="2"/>
    </font>
    <font>
      <sz val="10"/>
      <color rgb="FF0000FF"/>
      <name val="微軟正黑體"/>
      <family val="2"/>
      <charset val="136"/>
    </font>
    <font>
      <sz val="10"/>
      <color rgb="FF0000FF"/>
      <name val="細明體"/>
      <family val="2"/>
      <charset val="136"/>
    </font>
    <font>
      <i/>
      <sz val="9"/>
      <color rgb="FF0000FF"/>
      <name val="微軟正黑體"/>
      <family val="2"/>
      <charset val="136"/>
    </font>
    <font>
      <i/>
      <sz val="9"/>
      <color rgb="FF0000FF"/>
      <name val="Arial"/>
      <family val="2"/>
    </font>
    <font>
      <i/>
      <sz val="9"/>
      <color rgb="FF0000FF"/>
      <name val="細明體"/>
      <family val="3"/>
      <charset val="136"/>
    </font>
  </fonts>
  <fills count="13">
    <fill>
      <patternFill patternType="none"/>
    </fill>
    <fill>
      <patternFill patternType="gray125"/>
    </fill>
    <fill>
      <patternFill patternType="solid">
        <fgColor rgb="FF134F5C"/>
      </patternFill>
    </fill>
    <fill>
      <patternFill patternType="solid">
        <fgColor rgb="FF45818E"/>
      </patternFill>
    </fill>
    <fill>
      <patternFill patternType="solid">
        <fgColor rgb="FFD9EAD3"/>
      </patternFill>
    </fill>
    <fill>
      <patternFill patternType="solid">
        <fgColor rgb="FFF3F3F3"/>
      </patternFill>
    </fill>
    <fill>
      <patternFill patternType="solid">
        <fgColor rgb="FF26C6DA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E599"/>
      </patternFill>
    </fill>
    <fill>
      <patternFill patternType="solid">
        <fgColor rgb="FF171717"/>
      </patternFill>
    </fill>
    <fill>
      <patternFill patternType="solid">
        <fgColor rgb="FF3C4043"/>
      </patternFill>
    </fill>
    <fill>
      <patternFill patternType="solid">
        <fgColor rgb="FFE7E6E6"/>
      </patternFill>
    </fill>
  </fills>
  <borders count="8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dotted">
        <color rgb="FF999999"/>
      </left>
      <right style="thin">
        <color rgb="FF999999"/>
      </right>
      <top style="dotted">
        <color rgb="FF999999"/>
      </top>
      <bottom style="dotted">
        <color rgb="FF999999"/>
      </bottom>
      <diagonal/>
    </border>
    <border>
      <left style="thin">
        <color rgb="FF999999"/>
      </left>
      <right style="dotted">
        <color rgb="FF999999"/>
      </right>
      <top style="thin">
        <color rgb="FF999999"/>
      </top>
      <bottom style="thin">
        <color rgb="FF999999"/>
      </bottom>
      <diagonal/>
    </border>
    <border>
      <left style="dotted">
        <color rgb="FF999999"/>
      </left>
      <right style="dotted">
        <color rgb="FF999999"/>
      </right>
      <top style="thin">
        <color rgb="FF999999"/>
      </top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thin">
        <color rgb="FF999999"/>
      </bottom>
      <diagonal/>
    </border>
    <border>
      <left style="dotted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 applyProtection="1">
      <alignment horizontal="left" vertical="center" wrapText="1"/>
      <protection locked="0"/>
    </xf>
    <xf numFmtId="0" fontId="4" fillId="4" borderId="1" xfId="0" applyFont="1" applyFill="1" applyBorder="1" applyAlignment="1">
      <alignment horizontal="center" vertical="center" wrapText="1"/>
    </xf>
    <xf numFmtId="176" fontId="5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0" fontId="8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0" fillId="11" borderId="1" xfId="0" applyFill="1" applyBorder="1"/>
    <xf numFmtId="0" fontId="13" fillId="10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0" fillId="8" borderId="0" xfId="0" applyFill="1"/>
    <xf numFmtId="0" fontId="0" fillId="5" borderId="1" xfId="0" applyFill="1" applyBorder="1"/>
    <xf numFmtId="0" fontId="14" fillId="5" borderId="1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178" fontId="5" fillId="8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 applyProtection="1">
      <alignment horizontal="left" vertical="center" wrapText="1"/>
      <protection locked="0"/>
    </xf>
    <xf numFmtId="0" fontId="4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 applyProtection="1">
      <alignment horizontal="left" vertical="center" wrapText="1"/>
      <protection locked="0"/>
    </xf>
    <xf numFmtId="0" fontId="5" fillId="7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177" fontId="3" fillId="4" borderId="1" xfId="0" applyNumberFormat="1" applyFont="1" applyFill="1" applyBorder="1" applyAlignment="1" applyProtection="1">
      <alignment horizontal="left" vertical="center" wrapText="1"/>
      <protection locked="0"/>
    </xf>
    <xf numFmtId="0" fontId="13" fillId="3" borderId="1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 applyProtection="1">
      <alignment horizontal="left" vertical="center" wrapText="1"/>
      <protection locked="0"/>
    </xf>
    <xf numFmtId="0" fontId="17" fillId="12" borderId="2" xfId="0" applyFont="1" applyFill="1" applyBorder="1" applyAlignment="1" applyProtection="1">
      <alignment horizontal="left" vertical="center" wrapText="1"/>
      <protection locked="0"/>
    </xf>
    <xf numFmtId="0" fontId="15" fillId="8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 applyProtection="1">
      <alignment horizontal="center" vertical="center" wrapText="1"/>
      <protection locked="0"/>
    </xf>
    <xf numFmtId="0" fontId="17" fillId="12" borderId="2" xfId="0" applyFont="1" applyFill="1" applyBorder="1" applyAlignment="1" applyProtection="1">
      <alignment horizontal="center" vertical="center" wrapText="1"/>
      <protection locked="0"/>
    </xf>
    <xf numFmtId="0" fontId="23" fillId="4" borderId="2" xfId="0" applyFont="1" applyFill="1" applyBorder="1" applyAlignment="1" applyProtection="1">
      <alignment horizontal="center" vertical="center" wrapText="1"/>
      <protection locked="0"/>
    </xf>
    <xf numFmtId="0" fontId="24" fillId="4" borderId="2" xfId="0" applyFont="1" applyFill="1" applyBorder="1" applyAlignment="1" applyProtection="1">
      <alignment horizontal="center" vertical="center" wrapText="1"/>
      <protection locked="0"/>
    </xf>
  </cellXfs>
  <cellStyles count="1">
    <cellStyle name="一般" xfId="0" builtinId="0"/>
  </cellStyles>
  <dxfs count="110"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ill>
        <patternFill patternType="solid">
          <fgColor rgb="FFFFE599"/>
        </patternFill>
      </fill>
    </dxf>
    <dxf>
      <fill>
        <patternFill patternType="solid">
          <f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10199</xdr:colOff>
      <xdr:row>2</xdr:row>
      <xdr:rowOff>218500</xdr:rowOff>
    </xdr:from>
    <xdr:ext cx="1466850" cy="12858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23</xdr:col>
      <xdr:colOff>55533</xdr:colOff>
      <xdr:row>2</xdr:row>
      <xdr:rowOff>218500</xdr:rowOff>
    </xdr:from>
    <xdr:ext cx="1466850" cy="12858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28</xdr:col>
      <xdr:colOff>32866</xdr:colOff>
      <xdr:row>2</xdr:row>
      <xdr:rowOff>218500</xdr:rowOff>
    </xdr:from>
    <xdr:ext cx="1466850" cy="128587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19</xdr:col>
      <xdr:colOff>10199</xdr:colOff>
      <xdr:row>10</xdr:row>
      <xdr:rowOff>218499</xdr:rowOff>
    </xdr:from>
    <xdr:ext cx="4762500" cy="17049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19</xdr:col>
      <xdr:colOff>10199</xdr:colOff>
      <xdr:row>19</xdr:row>
      <xdr:rowOff>218499</xdr:rowOff>
    </xdr:from>
    <xdr:ext cx="4762500" cy="1590675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19</xdr:col>
      <xdr:colOff>10199</xdr:colOff>
      <xdr:row>30</xdr:row>
      <xdr:rowOff>218499</xdr:rowOff>
    </xdr:from>
    <xdr:ext cx="4762500" cy="170497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19</xdr:col>
      <xdr:colOff>10199</xdr:colOff>
      <xdr:row>38</xdr:row>
      <xdr:rowOff>218500</xdr:rowOff>
    </xdr:from>
    <xdr:ext cx="4762500" cy="1590675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5818E"/>
    <pageSetUpPr fitToPage="1"/>
  </sheetPr>
  <dimension ref="A1:I39"/>
  <sheetViews>
    <sheetView showGridLines="0" workbookViewId="0">
      <pane ySplit="3" topLeftCell="A4" activePane="bottomLeft" state="frozen"/>
      <selection pane="bottomLeft"/>
    </sheetView>
  </sheetViews>
  <sheetFormatPr defaultRowHeight="15.75" x14ac:dyDescent="0.25"/>
  <cols>
    <col min="1" max="1" width="18" customWidth="1"/>
    <col min="2" max="2" width="14" customWidth="1"/>
    <col min="4" max="4" width="16" customWidth="1"/>
    <col min="5" max="5" width="12" customWidth="1"/>
    <col min="6" max="6" width="30" customWidth="1"/>
    <col min="7" max="7" width="38" customWidth="1"/>
    <col min="8" max="8" width="36" customWidth="1"/>
    <col min="9" max="9" width="12" customWidth="1"/>
  </cols>
  <sheetData>
    <row r="1" spans="1:9" ht="27.95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3" spans="1:9" x14ac:dyDescent="0.25">
      <c r="A3" s="1" t="s">
        <v>1</v>
      </c>
      <c r="B3" s="23" t="s">
        <v>2</v>
      </c>
      <c r="C3" s="23"/>
      <c r="D3" s="23"/>
      <c r="E3" s="1" t="s">
        <v>3</v>
      </c>
      <c r="F3" s="24">
        <f>IFERROR(VLOOKUP(B3,設定!$A$2:$B$12,2,FALSE),0)</f>
        <v>4</v>
      </c>
      <c r="G3" s="24"/>
      <c r="H3" s="1" t="s">
        <v>4</v>
      </c>
      <c r="I3" s="4">
        <v>46262.251717152772</v>
      </c>
    </row>
    <row r="4" spans="1:9" x14ac:dyDescent="0.25">
      <c r="A4" s="1" t="s">
        <v>5</v>
      </c>
      <c r="B4" s="23" t="s">
        <v>6</v>
      </c>
      <c r="C4" s="23"/>
      <c r="D4" s="23"/>
      <c r="E4" s="1" t="s">
        <v>7</v>
      </c>
      <c r="F4" s="23" t="s">
        <v>8</v>
      </c>
      <c r="G4" s="23"/>
      <c r="H4" s="1" t="s">
        <v>9</v>
      </c>
      <c r="I4" s="2" t="s">
        <v>6</v>
      </c>
    </row>
    <row r="5" spans="1:9" ht="25.5" x14ac:dyDescent="0.25">
      <c r="A5" s="1" t="s">
        <v>10</v>
      </c>
      <c r="B5" s="23" t="s">
        <v>6</v>
      </c>
      <c r="C5" s="23"/>
      <c r="D5" s="23"/>
      <c r="E5" s="1" t="s">
        <v>11</v>
      </c>
      <c r="F5" s="23" t="s">
        <v>6</v>
      </c>
      <c r="G5" s="23"/>
      <c r="H5" s="1" t="s">
        <v>12</v>
      </c>
      <c r="I5" s="3">
        <f>SUM(C19:C30)+7</f>
        <v>7</v>
      </c>
    </row>
    <row r="6" spans="1:9" x14ac:dyDescent="0.25">
      <c r="A6" s="1" t="s">
        <v>13</v>
      </c>
      <c r="B6" s="23" t="s">
        <v>6</v>
      </c>
      <c r="C6" s="23"/>
      <c r="D6" s="23"/>
      <c r="E6" s="1" t="s">
        <v>14</v>
      </c>
      <c r="F6" s="23" t="s">
        <v>6</v>
      </c>
      <c r="G6" s="23"/>
      <c r="H6" s="23"/>
      <c r="I6" s="23"/>
    </row>
    <row r="7" spans="1:9" x14ac:dyDescent="0.25">
      <c r="A7" s="1" t="s">
        <v>15</v>
      </c>
      <c r="B7" s="23" t="s">
        <v>6</v>
      </c>
      <c r="C7" s="23"/>
      <c r="D7" s="23"/>
      <c r="E7" s="23"/>
      <c r="F7" s="23"/>
      <c r="G7" s="23"/>
      <c r="H7" s="23"/>
      <c r="I7" s="23"/>
    </row>
    <row r="9" spans="1:9" x14ac:dyDescent="0.25">
      <c r="A9" s="25" t="s">
        <v>16</v>
      </c>
      <c r="B9" s="25"/>
      <c r="C9" s="25"/>
      <c r="D9" s="25"/>
      <c r="E9" s="25"/>
      <c r="F9" s="25"/>
      <c r="G9" s="25"/>
      <c r="H9" s="25"/>
      <c r="I9" s="25"/>
    </row>
    <row r="10" spans="1:9" x14ac:dyDescent="0.25">
      <c r="A10" s="1" t="s">
        <v>17</v>
      </c>
      <c r="B10" s="26" t="s">
        <v>18</v>
      </c>
      <c r="C10" s="26"/>
      <c r="D10" s="26"/>
      <c r="E10" s="1" t="s">
        <v>19</v>
      </c>
      <c r="F10" s="27" t="s">
        <v>20</v>
      </c>
      <c r="G10" s="27"/>
      <c r="H10" s="27"/>
      <c r="I10" s="27"/>
    </row>
    <row r="11" spans="1:9" x14ac:dyDescent="0.25">
      <c r="A11" s="1" t="s">
        <v>21</v>
      </c>
      <c r="B11" s="23" t="s">
        <v>6</v>
      </c>
      <c r="C11" s="23"/>
      <c r="D11" s="23"/>
      <c r="E11" s="5" t="s">
        <v>22</v>
      </c>
      <c r="F11" s="27" t="s">
        <v>23</v>
      </c>
      <c r="G11" s="27"/>
      <c r="H11" s="27"/>
      <c r="I11" s="6" t="str">
        <f>IF(B11="","",IF(LENB(B11)/2&lt;=9,"OK","超過"))</f>
        <v/>
      </c>
    </row>
    <row r="12" spans="1:9" x14ac:dyDescent="0.25">
      <c r="A12" s="1" t="s">
        <v>24</v>
      </c>
      <c r="B12" s="23" t="s">
        <v>6</v>
      </c>
      <c r="C12" s="23"/>
      <c r="D12" s="23"/>
      <c r="E12" s="5" t="s">
        <v>25</v>
      </c>
      <c r="F12" s="27" t="s">
        <v>26</v>
      </c>
      <c r="G12" s="27"/>
      <c r="H12" s="27"/>
      <c r="I12" s="6" t="str">
        <f>IF(B12="","",IF(LENB(B12)/2&lt;=8,"OK","超過"))</f>
        <v/>
      </c>
    </row>
    <row r="13" spans="1:9" x14ac:dyDescent="0.25">
      <c r="A13" s="1" t="s">
        <v>27</v>
      </c>
      <c r="B13" s="23" t="s">
        <v>6</v>
      </c>
      <c r="C13" s="23"/>
      <c r="D13" s="23"/>
      <c r="E13" s="5" t="s">
        <v>28</v>
      </c>
      <c r="F13" s="27" t="s">
        <v>29</v>
      </c>
      <c r="G13" s="27"/>
      <c r="H13" s="27"/>
      <c r="I13" s="6" t="str">
        <f>IF(B13="","",IF(LENB(B13)/2&lt;=7,"OK","超過"))</f>
        <v/>
      </c>
    </row>
    <row r="14" spans="1:9" x14ac:dyDescent="0.25">
      <c r="A14" s="1" t="s">
        <v>30</v>
      </c>
      <c r="B14" s="23" t="s">
        <v>6</v>
      </c>
      <c r="C14" s="23"/>
      <c r="D14" s="23"/>
      <c r="E14" s="5" t="s">
        <v>31</v>
      </c>
      <c r="F14" s="27" t="s">
        <v>32</v>
      </c>
      <c r="G14" s="27"/>
      <c r="H14" s="27"/>
      <c r="I14" s="6" t="str">
        <f>IF(B14="","",IF(LENB(B14)/2&lt;=14,"OK","超過"))</f>
        <v/>
      </c>
    </row>
    <row r="15" spans="1:9" x14ac:dyDescent="0.25">
      <c r="A15" s="1" t="s">
        <v>33</v>
      </c>
      <c r="B15" s="23" t="s">
        <v>6</v>
      </c>
      <c r="C15" s="23"/>
      <c r="D15" s="23"/>
      <c r="E15" s="5" t="s">
        <v>34</v>
      </c>
      <c r="F15" s="27" t="s">
        <v>35</v>
      </c>
      <c r="G15" s="27"/>
      <c r="H15" s="27"/>
      <c r="I15" s="6" t="str">
        <f>IF(B15="","",IF(LENB(B15)/2&lt;=2,"OK","超過"))</f>
        <v/>
      </c>
    </row>
    <row r="17" spans="1:9" x14ac:dyDescent="0.25">
      <c r="A17" s="25" t="s">
        <v>36</v>
      </c>
      <c r="B17" s="25"/>
      <c r="C17" s="25"/>
      <c r="D17" s="25"/>
      <c r="E17" s="25"/>
      <c r="F17" s="25"/>
      <c r="G17" s="25"/>
      <c r="H17" s="25"/>
      <c r="I17" s="25"/>
    </row>
    <row r="18" spans="1:9" ht="23.1" customHeight="1" x14ac:dyDescent="0.25">
      <c r="A18" s="1" t="s">
        <v>37</v>
      </c>
      <c r="B18" s="1" t="s">
        <v>38</v>
      </c>
      <c r="C18" s="1" t="s">
        <v>39</v>
      </c>
      <c r="D18" s="1" t="s">
        <v>40</v>
      </c>
      <c r="E18" s="1" t="s">
        <v>41</v>
      </c>
      <c r="F18" s="1" t="s">
        <v>42</v>
      </c>
      <c r="G18" s="1" t="s">
        <v>43</v>
      </c>
      <c r="H18" s="1" t="s">
        <v>44</v>
      </c>
      <c r="I18" s="1" t="s">
        <v>45</v>
      </c>
    </row>
    <row r="19" spans="1:9" ht="38.1" customHeight="1" x14ac:dyDescent="0.25">
      <c r="A19" s="7" t="str">
        <f>IFERROR(INDEX(設定!$C$2:$N$12,MATCH($B$3,設定!$A$2:$A$12,0),1),"")</f>
        <v/>
      </c>
      <c r="B19" s="7" t="str">
        <f>IFERROR(INDEX(設定!$O$2:$Z$12,MATCH($B$3,設定!$A$2:$A$12,0),1),"")</f>
        <v/>
      </c>
      <c r="C19" s="8" t="str">
        <f t="shared" ref="C19:C30" si="0">IF(A19="","",IF(B19="預設",1,0))</f>
        <v/>
      </c>
      <c r="D19" s="9" t="str">
        <f>IF(A19="","",IFERROR(VLOOKUP(A19,設定!$AB$2:$AJ$13,4,FALSE),""))</f>
        <v/>
      </c>
      <c r="E19" s="9" t="str">
        <f>IF(A19="","",IFERROR(VLOOKUP(A19,設定!$AB$2:$AJ$13,5,FALSE),""))</f>
        <v/>
      </c>
      <c r="F19" s="10" t="str">
        <f>IF(A19="","",IFERROR(VLOOKUP(A19,設定!$AB$2:$AJ$13,6,FALSE),""))</f>
        <v/>
      </c>
      <c r="G19" s="10" t="str">
        <f>IF(A19="","",IFERROR(VLOOKUP(A19,設定!$AB$2:$AJ$13,7,FALSE),""))</f>
        <v/>
      </c>
      <c r="H19" s="10" t="str">
        <f>IF(A19="","",IFERROR(VLOOKUP(A19,設定!$AB$2:$AJ$13,8,FALSE),"尚未提供版型"))</f>
        <v/>
      </c>
      <c r="I19" s="6" t="str">
        <f t="shared" ref="I19:I30" si="1">IF(A19="","",IF(C19=0,"未選",IF(H19="尚未提供版型","缺版型","待製作")))</f>
        <v/>
      </c>
    </row>
    <row r="20" spans="1:9" ht="38.1" customHeight="1" x14ac:dyDescent="0.25">
      <c r="A20" s="7" t="str">
        <f>IFERROR(INDEX(設定!$C$2:$N$12,MATCH($B$3,設定!$A$2:$A$12,0),2),"")</f>
        <v/>
      </c>
      <c r="B20" s="7" t="str">
        <f>IFERROR(INDEX(設定!$O$2:$Z$12,MATCH($B$3,設定!$A$2:$A$12,0),2),"")</f>
        <v/>
      </c>
      <c r="C20" s="8" t="str">
        <f t="shared" si="0"/>
        <v/>
      </c>
      <c r="D20" s="9" t="str">
        <f>IF(A20="","",IFERROR(VLOOKUP(A20,設定!$AB$2:$AJ$13,4,FALSE),""))</f>
        <v/>
      </c>
      <c r="E20" s="9" t="str">
        <f>IF(A20="","",IFERROR(VLOOKUP(A20,設定!$AB$2:$AJ$13,5,FALSE),""))</f>
        <v/>
      </c>
      <c r="F20" s="10" t="str">
        <f>IF(A20="","",IFERROR(VLOOKUP(A20,設定!$AB$2:$AJ$13,6,FALSE),""))</f>
        <v/>
      </c>
      <c r="G20" s="10" t="str">
        <f>IF(A20="","",IFERROR(VLOOKUP(A20,設定!$AB$2:$AJ$13,7,FALSE),""))</f>
        <v/>
      </c>
      <c r="H20" s="10" t="str">
        <f>IF(A20="","",IFERROR(VLOOKUP(A20,設定!$AB$2:$AJ$13,8,FALSE),"尚未提供版型"))</f>
        <v/>
      </c>
      <c r="I20" s="6" t="str">
        <f t="shared" si="1"/>
        <v/>
      </c>
    </row>
    <row r="21" spans="1:9" ht="38.1" customHeight="1" x14ac:dyDescent="0.25">
      <c r="A21" s="7" t="str">
        <f>IFERROR(INDEX(設定!$C$2:$N$12,MATCH($B$3,設定!$A$2:$A$12,0),3),"")</f>
        <v/>
      </c>
      <c r="B21" s="7" t="str">
        <f>IFERROR(INDEX(設定!$O$2:$Z$12,MATCH($B$3,設定!$A$2:$A$12,0),3),"")</f>
        <v/>
      </c>
      <c r="C21" s="8" t="str">
        <f t="shared" si="0"/>
        <v/>
      </c>
      <c r="D21" s="9" t="str">
        <f>IF(A21="","",IFERROR(VLOOKUP(A21,設定!$AB$2:$AJ$13,4,FALSE),""))</f>
        <v/>
      </c>
      <c r="E21" s="9" t="str">
        <f>IF(A21="","",IFERROR(VLOOKUP(A21,設定!$AB$2:$AJ$13,5,FALSE),""))</f>
        <v/>
      </c>
      <c r="F21" s="10" t="str">
        <f>IF(A21="","",IFERROR(VLOOKUP(A21,設定!$AB$2:$AJ$13,6,FALSE),""))</f>
        <v/>
      </c>
      <c r="G21" s="10" t="str">
        <f>IF(A21="","",IFERROR(VLOOKUP(A21,設定!$AB$2:$AJ$13,7,FALSE),""))</f>
        <v/>
      </c>
      <c r="H21" s="10" t="str">
        <f>IF(A21="","",IFERROR(VLOOKUP(A21,設定!$AB$2:$AJ$13,8,FALSE),"尚未提供版型"))</f>
        <v/>
      </c>
      <c r="I21" s="6" t="str">
        <f t="shared" si="1"/>
        <v/>
      </c>
    </row>
    <row r="22" spans="1:9" ht="38.1" customHeight="1" x14ac:dyDescent="0.25">
      <c r="A22" s="7" t="str">
        <f>IFERROR(INDEX(設定!$C$2:$N$12,MATCH($B$3,設定!$A$2:$A$12,0),4),"")</f>
        <v/>
      </c>
      <c r="B22" s="7" t="str">
        <f>IFERROR(INDEX(設定!$O$2:$Z$12,MATCH($B$3,設定!$A$2:$A$12,0),4),"")</f>
        <v/>
      </c>
      <c r="C22" s="8" t="str">
        <f t="shared" si="0"/>
        <v/>
      </c>
      <c r="D22" s="9" t="str">
        <f>IF(A22="","",IFERROR(VLOOKUP(A22,設定!$AB$2:$AJ$13,4,FALSE),""))</f>
        <v/>
      </c>
      <c r="E22" s="9" t="str">
        <f>IF(A22="","",IFERROR(VLOOKUP(A22,設定!$AB$2:$AJ$13,5,FALSE),""))</f>
        <v/>
      </c>
      <c r="F22" s="10" t="str">
        <f>IF(A22="","",IFERROR(VLOOKUP(A22,設定!$AB$2:$AJ$13,6,FALSE),""))</f>
        <v/>
      </c>
      <c r="G22" s="10" t="str">
        <f>IF(A22="","",IFERROR(VLOOKUP(A22,設定!$AB$2:$AJ$13,7,FALSE),""))</f>
        <v/>
      </c>
      <c r="H22" s="10" t="str">
        <f>IF(A22="","",IFERROR(VLOOKUP(A22,設定!$AB$2:$AJ$13,8,FALSE),"尚未提供版型"))</f>
        <v/>
      </c>
      <c r="I22" s="6" t="str">
        <f t="shared" si="1"/>
        <v/>
      </c>
    </row>
    <row r="23" spans="1:9" ht="38.1" customHeight="1" x14ac:dyDescent="0.25">
      <c r="A23" s="7" t="str">
        <f>IFERROR(INDEX(設定!$C$2:$N$12,MATCH($B$3,設定!$A$2:$A$12,0),5),"")</f>
        <v/>
      </c>
      <c r="B23" s="7" t="str">
        <f>IFERROR(INDEX(設定!$O$2:$Z$12,MATCH($B$3,設定!$A$2:$A$12,0),5),"")</f>
        <v/>
      </c>
      <c r="C23" s="8" t="str">
        <f t="shared" si="0"/>
        <v/>
      </c>
      <c r="D23" s="9" t="str">
        <f>IF(A23="","",IFERROR(VLOOKUP(A23,設定!$AB$2:$AJ$13,4,FALSE),""))</f>
        <v/>
      </c>
      <c r="E23" s="9" t="str">
        <f>IF(A23="","",IFERROR(VLOOKUP(A23,設定!$AB$2:$AJ$13,5,FALSE),""))</f>
        <v/>
      </c>
      <c r="F23" s="10" t="str">
        <f>IF(A23="","",IFERROR(VLOOKUP(A23,設定!$AB$2:$AJ$13,6,FALSE),""))</f>
        <v/>
      </c>
      <c r="G23" s="10" t="str">
        <f>IF(A23="","",IFERROR(VLOOKUP(A23,設定!$AB$2:$AJ$13,7,FALSE),""))</f>
        <v/>
      </c>
      <c r="H23" s="10" t="str">
        <f>IF(A23="","",IFERROR(VLOOKUP(A23,設定!$AB$2:$AJ$13,8,FALSE),"尚未提供版型"))</f>
        <v/>
      </c>
      <c r="I23" s="6" t="str">
        <f t="shared" si="1"/>
        <v/>
      </c>
    </row>
    <row r="24" spans="1:9" ht="38.1" customHeight="1" x14ac:dyDescent="0.25">
      <c r="A24" s="7" t="str">
        <f>IFERROR(INDEX(設定!$C$2:$N$12,MATCH($B$3,設定!$A$2:$A$12,0),6),"")</f>
        <v/>
      </c>
      <c r="B24" s="7" t="str">
        <f>IFERROR(INDEX(設定!$O$2:$Z$12,MATCH($B$3,設定!$A$2:$A$12,0),6),"")</f>
        <v/>
      </c>
      <c r="C24" s="8" t="str">
        <f t="shared" si="0"/>
        <v/>
      </c>
      <c r="D24" s="9" t="str">
        <f>IF(A24="","",IFERROR(VLOOKUP(A24,設定!$AB$2:$AJ$13,4,FALSE),""))</f>
        <v/>
      </c>
      <c r="E24" s="9" t="str">
        <f>IF(A24="","",IFERROR(VLOOKUP(A24,設定!$AB$2:$AJ$13,5,FALSE),""))</f>
        <v/>
      </c>
      <c r="F24" s="10" t="str">
        <f>IF(A24="","",IFERROR(VLOOKUP(A24,設定!$AB$2:$AJ$13,6,FALSE),""))</f>
        <v/>
      </c>
      <c r="G24" s="10" t="str">
        <f>IF(A24="","",IFERROR(VLOOKUP(A24,設定!$AB$2:$AJ$13,7,FALSE),""))</f>
        <v/>
      </c>
      <c r="H24" s="10" t="str">
        <f>IF(A24="","",IFERROR(VLOOKUP(A24,設定!$AB$2:$AJ$13,8,FALSE),"尚未提供版型"))</f>
        <v/>
      </c>
      <c r="I24" s="6" t="str">
        <f t="shared" si="1"/>
        <v/>
      </c>
    </row>
    <row r="25" spans="1:9" ht="38.1" customHeight="1" x14ac:dyDescent="0.25">
      <c r="A25" s="7" t="str">
        <f>IFERROR(INDEX(設定!$C$2:$N$12,MATCH($B$3,設定!$A$2:$A$12,0),7),"")</f>
        <v/>
      </c>
      <c r="B25" s="7" t="str">
        <f>IFERROR(INDEX(設定!$O$2:$Z$12,MATCH($B$3,設定!$A$2:$A$12,0),7),"")</f>
        <v/>
      </c>
      <c r="C25" s="8" t="str">
        <f t="shared" si="0"/>
        <v/>
      </c>
      <c r="D25" s="9" t="str">
        <f>IF(A25="","",IFERROR(VLOOKUP(A25,設定!$AB$2:$AJ$13,4,FALSE),""))</f>
        <v/>
      </c>
      <c r="E25" s="9" t="str">
        <f>IF(A25="","",IFERROR(VLOOKUP(A25,設定!$AB$2:$AJ$13,5,FALSE),""))</f>
        <v/>
      </c>
      <c r="F25" s="10" t="str">
        <f>IF(A25="","",IFERROR(VLOOKUP(A25,設定!$AB$2:$AJ$13,6,FALSE),""))</f>
        <v/>
      </c>
      <c r="G25" s="10" t="str">
        <f>IF(A25="","",IFERROR(VLOOKUP(A25,設定!$AB$2:$AJ$13,7,FALSE),""))</f>
        <v/>
      </c>
      <c r="H25" s="10" t="str">
        <f>IF(A25="","",IFERROR(VLOOKUP(A25,設定!$AB$2:$AJ$13,8,FALSE),"尚未提供版型"))</f>
        <v/>
      </c>
      <c r="I25" s="6" t="str">
        <f t="shared" si="1"/>
        <v/>
      </c>
    </row>
    <row r="26" spans="1:9" ht="38.1" customHeight="1" x14ac:dyDescent="0.25">
      <c r="A26" s="7" t="str">
        <f>IFERROR(INDEX(設定!$C$2:$N$12,MATCH($B$3,設定!$A$2:$A$12,0),8),"")</f>
        <v/>
      </c>
      <c r="B26" s="7" t="str">
        <f>IFERROR(INDEX(設定!$O$2:$Z$12,MATCH($B$3,設定!$A$2:$A$12,0),8),"")</f>
        <v/>
      </c>
      <c r="C26" s="8" t="str">
        <f t="shared" si="0"/>
        <v/>
      </c>
      <c r="D26" s="9" t="str">
        <f>IF(A26="","",IFERROR(VLOOKUP(A26,設定!$AB$2:$AJ$13,4,FALSE),""))</f>
        <v/>
      </c>
      <c r="E26" s="9" t="str">
        <f>IF(A26="","",IFERROR(VLOOKUP(A26,設定!$AB$2:$AJ$13,5,FALSE),""))</f>
        <v/>
      </c>
      <c r="F26" s="10" t="str">
        <f>IF(A26="","",IFERROR(VLOOKUP(A26,設定!$AB$2:$AJ$13,6,FALSE),""))</f>
        <v/>
      </c>
      <c r="G26" s="10" t="str">
        <f>IF(A26="","",IFERROR(VLOOKUP(A26,設定!$AB$2:$AJ$13,7,FALSE),""))</f>
        <v/>
      </c>
      <c r="H26" s="10" t="str">
        <f>IF(A26="","",IFERROR(VLOOKUP(A26,設定!$AB$2:$AJ$13,8,FALSE),"尚未提供版型"))</f>
        <v/>
      </c>
      <c r="I26" s="6" t="str">
        <f t="shared" si="1"/>
        <v/>
      </c>
    </row>
    <row r="27" spans="1:9" ht="38.1" customHeight="1" x14ac:dyDescent="0.25">
      <c r="A27" s="7" t="str">
        <f>IFERROR(INDEX(設定!$C$2:$N$12,MATCH($B$3,設定!$A$2:$A$12,0),9),"")</f>
        <v/>
      </c>
      <c r="B27" s="7" t="str">
        <f>IFERROR(INDEX(設定!$O$2:$Z$12,MATCH($B$3,設定!$A$2:$A$12,0),9),"")</f>
        <v/>
      </c>
      <c r="C27" s="8" t="str">
        <f t="shared" si="0"/>
        <v/>
      </c>
      <c r="D27" s="9" t="str">
        <f>IF(A27="","",IFERROR(VLOOKUP(A27,設定!$AB$2:$AJ$13,4,FALSE),""))</f>
        <v/>
      </c>
      <c r="E27" s="9" t="str">
        <f>IF(A27="","",IFERROR(VLOOKUP(A27,設定!$AB$2:$AJ$13,5,FALSE),""))</f>
        <v/>
      </c>
      <c r="F27" s="10" t="str">
        <f>IF(A27="","",IFERROR(VLOOKUP(A27,設定!$AB$2:$AJ$13,6,FALSE),""))</f>
        <v/>
      </c>
      <c r="G27" s="10" t="str">
        <f>IF(A27="","",IFERROR(VLOOKUP(A27,設定!$AB$2:$AJ$13,7,FALSE),""))</f>
        <v/>
      </c>
      <c r="H27" s="10" t="str">
        <f>IF(A27="","",IFERROR(VLOOKUP(A27,設定!$AB$2:$AJ$13,8,FALSE),"尚未提供版型"))</f>
        <v/>
      </c>
      <c r="I27" s="6" t="str">
        <f t="shared" si="1"/>
        <v/>
      </c>
    </row>
    <row r="28" spans="1:9" ht="38.1" customHeight="1" x14ac:dyDescent="0.25">
      <c r="A28" s="7" t="str">
        <f>IFERROR(INDEX(設定!$C$2:$N$12,MATCH($B$3,設定!$A$2:$A$12,0),10),"")</f>
        <v/>
      </c>
      <c r="B28" s="7" t="str">
        <f>IFERROR(INDEX(設定!$O$2:$Z$12,MATCH($B$3,設定!$A$2:$A$12,0),10),"")</f>
        <v/>
      </c>
      <c r="C28" s="8" t="str">
        <f t="shared" si="0"/>
        <v/>
      </c>
      <c r="D28" s="9" t="str">
        <f>IF(A28="","",IFERROR(VLOOKUP(A28,設定!$AB$2:$AJ$13,4,FALSE),""))</f>
        <v/>
      </c>
      <c r="E28" s="9" t="str">
        <f>IF(A28="","",IFERROR(VLOOKUP(A28,設定!$AB$2:$AJ$13,5,FALSE),""))</f>
        <v/>
      </c>
      <c r="F28" s="10" t="str">
        <f>IF(A28="","",IFERROR(VLOOKUP(A28,設定!$AB$2:$AJ$13,6,FALSE),""))</f>
        <v/>
      </c>
      <c r="G28" s="10" t="str">
        <f>IF(A28="","",IFERROR(VLOOKUP(A28,設定!$AB$2:$AJ$13,7,FALSE),""))</f>
        <v/>
      </c>
      <c r="H28" s="10" t="str">
        <f>IF(A28="","",IFERROR(VLOOKUP(A28,設定!$AB$2:$AJ$13,8,FALSE),"尚未提供版型"))</f>
        <v/>
      </c>
      <c r="I28" s="6" t="str">
        <f t="shared" si="1"/>
        <v/>
      </c>
    </row>
    <row r="29" spans="1:9" ht="38.1" customHeight="1" x14ac:dyDescent="0.25">
      <c r="A29" s="7" t="str">
        <f>IFERROR(INDEX(設定!$C$2:$N$12,MATCH($B$3,設定!$A$2:$A$12,0),11),"")</f>
        <v/>
      </c>
      <c r="B29" s="7" t="str">
        <f>IFERROR(INDEX(設定!$O$2:$Z$12,MATCH($B$3,設定!$A$2:$A$12,0),11),"")</f>
        <v/>
      </c>
      <c r="C29" s="8" t="str">
        <f t="shared" si="0"/>
        <v/>
      </c>
      <c r="D29" s="9" t="str">
        <f>IF(A29="","",IFERROR(VLOOKUP(A29,設定!$AB$2:$AJ$13,4,FALSE),""))</f>
        <v/>
      </c>
      <c r="E29" s="9" t="str">
        <f>IF(A29="","",IFERROR(VLOOKUP(A29,設定!$AB$2:$AJ$13,5,FALSE),""))</f>
        <v/>
      </c>
      <c r="F29" s="10" t="str">
        <f>IF(A29="","",IFERROR(VLOOKUP(A29,設定!$AB$2:$AJ$13,6,FALSE),""))</f>
        <v/>
      </c>
      <c r="G29" s="10" t="str">
        <f>IF(A29="","",IFERROR(VLOOKUP(A29,設定!$AB$2:$AJ$13,7,FALSE),""))</f>
        <v/>
      </c>
      <c r="H29" s="10" t="str">
        <f>IF(A29="","",IFERROR(VLOOKUP(A29,設定!$AB$2:$AJ$13,8,FALSE),"尚未提供版型"))</f>
        <v/>
      </c>
      <c r="I29" s="6" t="str">
        <f t="shared" si="1"/>
        <v/>
      </c>
    </row>
    <row r="30" spans="1:9" ht="38.1" customHeight="1" x14ac:dyDescent="0.25">
      <c r="A30" s="7" t="str">
        <f>IFERROR(INDEX(設定!$C$2:$N$12,MATCH($B$3,設定!$A$2:$A$12,0),12),"")</f>
        <v/>
      </c>
      <c r="B30" s="7" t="str">
        <f>IFERROR(INDEX(設定!$O$2:$Z$12,MATCH($B$3,設定!$A$2:$A$12,0),12),"")</f>
        <v/>
      </c>
      <c r="C30" s="8" t="str">
        <f t="shared" si="0"/>
        <v/>
      </c>
      <c r="D30" s="9" t="str">
        <f>IF(A30="","",IFERROR(VLOOKUP(A30,設定!$AB$2:$AJ$13,4,FALSE),""))</f>
        <v/>
      </c>
      <c r="E30" s="9" t="str">
        <f>IF(A30="","",IFERROR(VLOOKUP(A30,設定!$AB$2:$AJ$13,5,FALSE),""))</f>
        <v/>
      </c>
      <c r="F30" s="10" t="str">
        <f>IF(A30="","",IFERROR(VLOOKUP(A30,設定!$AB$2:$AJ$13,6,FALSE),""))</f>
        <v/>
      </c>
      <c r="G30" s="10" t="str">
        <f>IF(A30="","",IFERROR(VLOOKUP(A30,設定!$AB$2:$AJ$13,7,FALSE),""))</f>
        <v/>
      </c>
      <c r="H30" s="10" t="str">
        <f>IF(A30="","",IFERROR(VLOOKUP(A30,設定!$AB$2:$AJ$13,8,FALSE),"尚未提供版型"))</f>
        <v/>
      </c>
      <c r="I30" s="6" t="str">
        <f t="shared" si="1"/>
        <v/>
      </c>
    </row>
    <row r="33" spans="1:9" x14ac:dyDescent="0.25">
      <c r="A33" s="25" t="s">
        <v>46</v>
      </c>
      <c r="B33" s="25"/>
      <c r="C33" s="25"/>
      <c r="D33" s="25"/>
      <c r="E33" s="25"/>
      <c r="F33" s="25"/>
      <c r="G33" s="25"/>
      <c r="H33" s="25"/>
      <c r="I33" s="25"/>
    </row>
    <row r="34" spans="1:9" x14ac:dyDescent="0.25">
      <c r="A34" s="1" t="s">
        <v>38</v>
      </c>
      <c r="B34" s="1" t="s">
        <v>47</v>
      </c>
      <c r="C34" s="1" t="s">
        <v>48</v>
      </c>
      <c r="D34" s="1" t="s">
        <v>49</v>
      </c>
      <c r="E34" s="1" t="s">
        <v>50</v>
      </c>
      <c r="F34" s="1" t="s">
        <v>51</v>
      </c>
      <c r="G34" s="1" t="s">
        <v>43</v>
      </c>
      <c r="H34" s="1" t="s">
        <v>52</v>
      </c>
      <c r="I34" s="1" t="s">
        <v>45</v>
      </c>
    </row>
    <row r="35" spans="1:9" ht="33.950000000000003" customHeight="1" x14ac:dyDescent="0.25">
      <c r="A35" s="9" t="s">
        <v>53</v>
      </c>
      <c r="B35" s="9" t="s">
        <v>54</v>
      </c>
      <c r="C35" s="6">
        <v>1</v>
      </c>
      <c r="D35" s="6">
        <v>3</v>
      </c>
      <c r="E35" s="9" t="s">
        <v>55</v>
      </c>
      <c r="F35" s="10" t="s">
        <v>56</v>
      </c>
      <c r="G35" s="10" t="s">
        <v>57</v>
      </c>
      <c r="H35" s="9" t="s">
        <v>58</v>
      </c>
      <c r="I35" s="11" t="s">
        <v>59</v>
      </c>
    </row>
    <row r="36" spans="1:9" ht="33.950000000000003" customHeight="1" x14ac:dyDescent="0.25">
      <c r="A36" s="9" t="s">
        <v>60</v>
      </c>
      <c r="B36" s="9" t="s">
        <v>61</v>
      </c>
      <c r="C36" s="6">
        <v>2</v>
      </c>
      <c r="D36" s="6">
        <v>1</v>
      </c>
      <c r="E36" s="9" t="s">
        <v>62</v>
      </c>
      <c r="F36" s="10" t="s">
        <v>63</v>
      </c>
      <c r="G36" s="10" t="s">
        <v>57</v>
      </c>
      <c r="H36" s="9" t="s">
        <v>64</v>
      </c>
      <c r="I36" s="11" t="s">
        <v>59</v>
      </c>
    </row>
    <row r="37" spans="1:9" ht="33.950000000000003" customHeight="1" x14ac:dyDescent="0.25">
      <c r="A37" s="9" t="s">
        <v>60</v>
      </c>
      <c r="B37" s="9" t="s">
        <v>65</v>
      </c>
      <c r="C37" s="6">
        <v>3</v>
      </c>
      <c r="D37" s="6">
        <v>1</v>
      </c>
      <c r="E37" s="9" t="s">
        <v>66</v>
      </c>
      <c r="F37" s="10" t="s">
        <v>67</v>
      </c>
      <c r="G37" s="10" t="s">
        <v>57</v>
      </c>
      <c r="H37" s="9" t="s">
        <v>68</v>
      </c>
      <c r="I37" s="11" t="s">
        <v>59</v>
      </c>
    </row>
    <row r="38" spans="1:9" ht="33.950000000000003" customHeight="1" x14ac:dyDescent="0.25">
      <c r="A38" s="9" t="s">
        <v>60</v>
      </c>
      <c r="B38" s="9" t="s">
        <v>69</v>
      </c>
      <c r="C38" s="6">
        <v>4</v>
      </c>
      <c r="D38" s="6">
        <v>2</v>
      </c>
      <c r="E38" s="9" t="s">
        <v>70</v>
      </c>
      <c r="F38" s="10" t="s">
        <v>71</v>
      </c>
      <c r="G38" s="10" t="s">
        <v>57</v>
      </c>
      <c r="H38" s="9" t="s">
        <v>72</v>
      </c>
      <c r="I38" s="11" t="s">
        <v>59</v>
      </c>
    </row>
    <row r="39" spans="1:9" ht="33.950000000000003" customHeight="1" x14ac:dyDescent="0.25">
      <c r="A39" s="9" t="s">
        <v>60</v>
      </c>
      <c r="B39" s="9" t="s">
        <v>73</v>
      </c>
      <c r="C39" s="6">
        <v>5</v>
      </c>
      <c r="D39" s="6">
        <v>3</v>
      </c>
      <c r="E39" s="9" t="s">
        <v>74</v>
      </c>
      <c r="F39" s="10" t="s">
        <v>75</v>
      </c>
      <c r="G39" s="10" t="s">
        <v>57</v>
      </c>
      <c r="H39" s="9" t="s">
        <v>76</v>
      </c>
      <c r="I39" s="11" t="s">
        <v>59</v>
      </c>
    </row>
  </sheetData>
  <sheetProtection sheet="1" autoFilter="0"/>
  <autoFilter ref="A18:I30" xr:uid="{00000000-0009-0000-0000-000000000000}"/>
  <mergeCells count="25">
    <mergeCell ref="B15:D15"/>
    <mergeCell ref="F15:H15"/>
    <mergeCell ref="A17:I17"/>
    <mergeCell ref="A33:I33"/>
    <mergeCell ref="B12:D12"/>
    <mergeCell ref="F12:H12"/>
    <mergeCell ref="B13:D13"/>
    <mergeCell ref="F13:H13"/>
    <mergeCell ref="B14:D14"/>
    <mergeCell ref="F14:H14"/>
    <mergeCell ref="A9:I9"/>
    <mergeCell ref="B10:D10"/>
    <mergeCell ref="F10:I10"/>
    <mergeCell ref="B11:D11"/>
    <mergeCell ref="F11:H11"/>
    <mergeCell ref="B5:D5"/>
    <mergeCell ref="F5:G5"/>
    <mergeCell ref="B6:D6"/>
    <mergeCell ref="F6:I6"/>
    <mergeCell ref="B7:I7"/>
    <mergeCell ref="A1:I1"/>
    <mergeCell ref="B3:D3"/>
    <mergeCell ref="F3:G3"/>
    <mergeCell ref="B4:D4"/>
    <mergeCell ref="F4:G4"/>
  </mergeCells>
  <phoneticPr fontId="19" type="noConversion"/>
  <conditionalFormatting sqref="A19:I30">
    <cfRule type="expression" dxfId="109" priority="267">
      <formula>$B19="預設"</formula>
    </cfRule>
    <cfRule type="expression" dxfId="108" priority="268">
      <formula>$B19="選配"</formula>
    </cfRule>
    <cfRule type="expression" dxfId="107" priority="269">
      <formula>$I19="缺版型"</formula>
    </cfRule>
  </conditionalFormatting>
  <conditionalFormatting sqref="B11">
    <cfRule type="expression" dxfId="106" priority="262">
      <formula>LENB(B11)/2&gt;9</formula>
    </cfRule>
  </conditionalFormatting>
  <conditionalFormatting sqref="B12">
    <cfRule type="expression" dxfId="105" priority="263">
      <formula>LENB(B12)/2&gt;8</formula>
    </cfRule>
  </conditionalFormatting>
  <conditionalFormatting sqref="B13">
    <cfRule type="expression" dxfId="104" priority="264">
      <formula>LENB(B13)/2&gt;7</formula>
    </cfRule>
  </conditionalFormatting>
  <conditionalFormatting sqref="B14">
    <cfRule type="expression" dxfId="103" priority="265">
      <formula>LENB(B14)/2&gt;14</formula>
    </cfRule>
  </conditionalFormatting>
  <conditionalFormatting sqref="B15">
    <cfRule type="expression" dxfId="102" priority="266">
      <formula>LENB(B15)/2&gt;2</formula>
    </cfRule>
  </conditionalFormatting>
  <dataValidations count="8">
    <dataValidation type="custom" showErrorMessage="1" errorTitle="色碼格式錯誤" error="請輸入 #RRGGBB，例如 #6bc0ec。" sqref="B10" xr:uid="{00000000-0002-0000-0000-000000000000}">
      <formula1>AND(LEFT(B10,1)="#",LEN(B10)=7)</formula1>
    </dataValidation>
    <dataValidation type="custom" allowBlank="1" showInputMessage="1" showErrorMessage="1" errorTitle="超過字數上限" error="最多 9 個字；中文算 1，英數與半形符號算 0.5。" promptTitle="字數限制：9" prompt="中文算 1，英數與半形符號算 0.5。" sqref="B11" xr:uid="{00000000-0002-0000-0000-000001000000}">
      <formula1>LENB(B11)/2&lt;=9</formula1>
    </dataValidation>
    <dataValidation type="custom" allowBlank="1" showInputMessage="1" showErrorMessage="1" errorTitle="超過字數上限" error="最多 8 個字；中文算 1，英數與半形符號算 0.5。" promptTitle="字數限制：8" prompt="中文算 1，英數與半形符號算 0.5。" sqref="B12" xr:uid="{00000000-0002-0000-0000-000002000000}">
      <formula1>LENB(B12)/2&lt;=8</formula1>
    </dataValidation>
    <dataValidation type="custom" allowBlank="1" showInputMessage="1" showErrorMessage="1" errorTitle="超過字數上限" error="最多 7 個字；中文算 1，英數與半形符號算 0.5。" promptTitle="字數限制：7" prompt="中文算 1，英數與半形符號算 0.5。" sqref="B13" xr:uid="{00000000-0002-0000-0000-000003000000}">
      <formula1>LENB(B13)/2&lt;=7</formula1>
    </dataValidation>
    <dataValidation type="custom" allowBlank="1" showInputMessage="1" showErrorMessage="1" errorTitle="超過字數上限" error="最多 14 個字；中文算 1，英數與半形符號算 0.5。" promptTitle="字數限制：14" prompt="中文算 1，英數與半形符號算 0.5。" sqref="B14" xr:uid="{00000000-0002-0000-0000-000004000000}">
      <formula1>LENB(B14)/2&lt;=14</formula1>
    </dataValidation>
    <dataValidation type="custom" allowBlank="1" showInputMessage="1" showErrorMessage="1" errorTitle="超過字數上限" error="最多 2 個字；中文算 1，英數與半形符號算 0.5。" promptTitle="字數限制：2" prompt="中文算 1，英數與半形符號算 0.5。" sqref="B15" xr:uid="{00000000-0002-0000-0000-000005000000}">
      <formula1>LENB(B15)/2&lt;=2</formula1>
    </dataValidation>
    <dataValidation type="list" showErrorMessage="1" errorTitle="請選擇系統等級" error="請使用下拉選單中的包套(等級)。" sqref="B3" xr:uid="{00000000-0002-0000-0000-000006000000}">
      <formula1>"A Brand star (Mega),A Brand star (Mega) 資交,A 精選套裝,A 品牌旗艦MDD,A 品牌旗艦MDD 資交,B+ BOD A,B+ BOD A 資交,B+ BOD B (Mega),B+ 基礎套裝,B JBP多店,B 金牌 (Mega)"</formula1>
    </dataValidation>
    <dataValidation type="whole" allowBlank="1" showErrorMessage="1" errorTitle="張數格式錯誤" error="請輸入 0～20 的整數。" sqref="C19:C30" xr:uid="{00000000-0002-0000-0000-000007000000}">
      <formula1>0</formula1>
      <formula2>20</formula2>
    </dataValidation>
  </dataValidations>
  <pageMargins left="0.25" right="0.25" top="0.4" bottom="0.4" header="0.2" footer="0.2"/>
  <pageSetup paperSize="9" fitToHeight="0" orientation="landscape"/>
  <headerFooter>
    <oddFooter>&amp;L BODA 工單&amp;C 工單總覽&amp;R 第 &amp;P / &amp;N 頁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34F5C"/>
    <pageSetUpPr fitToPage="1"/>
  </sheetPr>
  <dimension ref="A1:AG50"/>
  <sheetViews>
    <sheetView showGridLines="0" tabSelected="1" workbookViewId="0">
      <pane xSplit="2" ySplit="2" topLeftCell="C36" activePane="bottomRight" state="frozen"/>
      <selection pane="topRight"/>
      <selection pane="bottomLeft"/>
      <selection pane="bottomRight" activeCell="D42" sqref="D42:E42"/>
    </sheetView>
  </sheetViews>
  <sheetFormatPr defaultRowHeight="15.75" x14ac:dyDescent="0.25"/>
  <cols>
    <col min="1" max="1" width="10.5703125" customWidth="1"/>
    <col min="2" max="2" width="10.42578125" customWidth="1"/>
    <col min="3" max="3" width="15" customWidth="1"/>
    <col min="4" max="5" width="12" customWidth="1"/>
    <col min="6" max="6" width="10" customWidth="1"/>
    <col min="7" max="7" width="15" customWidth="1"/>
    <col min="8" max="9" width="12" customWidth="1"/>
    <col min="10" max="10" width="10" customWidth="1"/>
    <col min="11" max="11" width="15" customWidth="1"/>
    <col min="12" max="13" width="12" customWidth="1"/>
    <col min="14" max="14" width="10" customWidth="1"/>
    <col min="15" max="15" width="15" customWidth="1"/>
    <col min="16" max="17" width="12" customWidth="1"/>
    <col min="18" max="18" width="10" customWidth="1"/>
    <col min="19" max="19" width="2.42578125" customWidth="1"/>
    <col min="20" max="33" width="6.85546875" customWidth="1"/>
  </cols>
  <sheetData>
    <row r="1" spans="1:33" ht="24" customHeight="1" x14ac:dyDescent="0.25">
      <c r="A1" s="28" t="s">
        <v>77</v>
      </c>
      <c r="B1" s="28" t="s">
        <v>78</v>
      </c>
      <c r="C1" s="28" t="s">
        <v>79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12"/>
      <c r="T1" s="28" t="s">
        <v>80</v>
      </c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</row>
    <row r="2" spans="1:33" ht="20.100000000000001" customHeight="1" x14ac:dyDescent="0.25">
      <c r="A2" s="28"/>
      <c r="B2" s="28"/>
      <c r="C2" s="29" t="s">
        <v>81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13"/>
      <c r="T2" s="29" t="s">
        <v>82</v>
      </c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ht="23.1" customHeight="1" x14ac:dyDescent="0.25">
      <c r="A3" s="32" t="s">
        <v>53</v>
      </c>
      <c r="B3" s="32" t="s">
        <v>83</v>
      </c>
      <c r="C3" s="30" t="s">
        <v>84</v>
      </c>
      <c r="D3" s="30"/>
      <c r="E3" s="30"/>
      <c r="F3" s="30"/>
      <c r="G3" s="30"/>
      <c r="H3" s="30" t="s">
        <v>85</v>
      </c>
      <c r="I3" s="30"/>
      <c r="J3" s="30"/>
      <c r="K3" s="30"/>
      <c r="L3" s="30"/>
      <c r="M3" s="30" t="s">
        <v>86</v>
      </c>
      <c r="N3" s="30"/>
      <c r="O3" s="30"/>
      <c r="P3" s="30"/>
      <c r="Q3" s="30"/>
      <c r="R3" s="30"/>
      <c r="T3" s="31" t="s">
        <v>84</v>
      </c>
      <c r="U3" s="31"/>
      <c r="V3" s="31"/>
      <c r="W3" s="31"/>
      <c r="X3" s="31" t="s">
        <v>85</v>
      </c>
      <c r="Y3" s="31"/>
      <c r="Z3" s="31"/>
      <c r="AA3" s="31"/>
      <c r="AB3" s="31"/>
      <c r="AC3" s="31" t="s">
        <v>86</v>
      </c>
      <c r="AD3" s="31"/>
      <c r="AE3" s="31"/>
      <c r="AF3" s="31"/>
      <c r="AG3" s="31"/>
    </row>
    <row r="4" spans="1:33" ht="21.95" customHeight="1" x14ac:dyDescent="0.25">
      <c r="A4" s="32"/>
      <c r="B4" s="32"/>
      <c r="C4" s="15" t="s">
        <v>87</v>
      </c>
      <c r="D4" s="33" t="s">
        <v>452</v>
      </c>
      <c r="E4" s="33"/>
      <c r="F4" s="33"/>
      <c r="G4" s="6" t="str">
        <f>IF(D4="","",IF(LENB(D4)/2&lt;=8,"OK","超過"))</f>
        <v>OK</v>
      </c>
      <c r="H4" s="15" t="s">
        <v>87</v>
      </c>
      <c r="I4" s="33" t="s">
        <v>458</v>
      </c>
      <c r="J4" s="33"/>
      <c r="K4" s="33"/>
      <c r="L4" s="6" t="str">
        <f>IF(I4="","",IF(LENB(I4)/2&lt;=8,"OK","超過"))</f>
        <v>OK</v>
      </c>
      <c r="M4" s="15" t="s">
        <v>87</v>
      </c>
      <c r="N4" s="33" t="s">
        <v>464</v>
      </c>
      <c r="O4" s="33"/>
      <c r="P4" s="33"/>
      <c r="Q4" s="33"/>
      <c r="R4" s="6" t="str">
        <f>IF(N4="","",IF(LENB(N4)/2&lt;=8,"OK","超過"))</f>
        <v>OK</v>
      </c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 spans="1:33" ht="21.95" customHeight="1" x14ac:dyDescent="0.25">
      <c r="A5" s="32"/>
      <c r="B5" s="32"/>
      <c r="C5" s="15" t="s">
        <v>88</v>
      </c>
      <c r="D5" s="33" t="s">
        <v>453</v>
      </c>
      <c r="E5" s="33"/>
      <c r="F5" s="33"/>
      <c r="G5" s="6" t="str">
        <f>IF(D5="","待填","OK")</f>
        <v>OK</v>
      </c>
      <c r="H5" s="15" t="s">
        <v>88</v>
      </c>
      <c r="I5" s="33" t="s">
        <v>459</v>
      </c>
      <c r="J5" s="33"/>
      <c r="K5" s="33"/>
      <c r="L5" s="6" t="str">
        <f>IF(I5="","待填","OK")</f>
        <v>OK</v>
      </c>
      <c r="M5" s="15" t="s">
        <v>89</v>
      </c>
      <c r="N5" s="23" t="s">
        <v>465</v>
      </c>
      <c r="O5" s="23"/>
      <c r="P5" s="23"/>
      <c r="Q5" s="23"/>
      <c r="R5" s="6" t="str">
        <f>IF(N5="","待填",IF(ISNUMBER(SEARCH(".",N5)),"OK","記得加副檔名"))</f>
        <v>OK</v>
      </c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 spans="1:33" ht="21.95" customHeight="1" x14ac:dyDescent="0.25">
      <c r="A6" s="32"/>
      <c r="B6" s="32"/>
      <c r="C6" s="15" t="s">
        <v>89</v>
      </c>
      <c r="D6" s="23" t="s">
        <v>454</v>
      </c>
      <c r="E6" s="23"/>
      <c r="F6" s="23"/>
      <c r="G6" s="6" t="str">
        <f>IF(D6="","待填",IF(ISNUMBER(SEARCH(".",D6)),"OK","記得加副檔名"))</f>
        <v>OK</v>
      </c>
      <c r="H6" s="15" t="s">
        <v>89</v>
      </c>
      <c r="I6" s="23" t="s">
        <v>460</v>
      </c>
      <c r="J6" s="23"/>
      <c r="K6" s="23"/>
      <c r="L6" s="6" t="str">
        <f>IF(I6="","待填",IF(ISNUMBER(SEARCH(".",I6)),"OK","記得加副檔名"))</f>
        <v>OK</v>
      </c>
      <c r="M6" s="15" t="s">
        <v>90</v>
      </c>
      <c r="N6" s="33" t="s">
        <v>463</v>
      </c>
      <c r="O6" s="33"/>
      <c r="P6" s="33"/>
      <c r="Q6" s="33"/>
      <c r="R6" s="6" t="str">
        <f>IF(N6="","",IF(LENB(N6)/2&lt;=3,"OK","超過"))</f>
        <v>OK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pans="1:33" ht="21.95" customHeight="1" x14ac:dyDescent="0.25">
      <c r="A7" s="32"/>
      <c r="B7" s="32"/>
      <c r="C7" s="15" t="s">
        <v>91</v>
      </c>
      <c r="D7" s="33" t="s">
        <v>455</v>
      </c>
      <c r="E7" s="33"/>
      <c r="F7" s="33"/>
      <c r="G7" s="6" t="str">
        <f>IF(D7="","",IF(LENB(D7)/2&lt;=8,"OK","超過"))</f>
        <v>OK</v>
      </c>
      <c r="H7" s="15" t="s">
        <v>91</v>
      </c>
      <c r="I7" s="33" t="s">
        <v>461</v>
      </c>
      <c r="J7" s="33"/>
      <c r="K7" s="33"/>
      <c r="L7" s="6" t="str">
        <f>IF(I7="","",IF(LENB(I7)/2&lt;=4,"OK","超過"))</f>
        <v>OK</v>
      </c>
      <c r="M7" s="17" t="s">
        <v>6</v>
      </c>
      <c r="N7" s="17"/>
      <c r="O7" s="17"/>
      <c r="P7" s="17"/>
      <c r="Q7" s="17"/>
      <c r="R7" s="17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</row>
    <row r="8" spans="1:33" ht="21.95" customHeight="1" x14ac:dyDescent="0.25">
      <c r="A8" s="32"/>
      <c r="B8" s="32"/>
      <c r="C8" s="15" t="s">
        <v>92</v>
      </c>
      <c r="D8" s="33" t="s">
        <v>456</v>
      </c>
      <c r="E8" s="33"/>
      <c r="F8" s="33"/>
      <c r="G8" s="6" t="str">
        <f>IF(D8="","",IF(LENB(D8)/2&lt;=10,"OK","超過"))</f>
        <v>OK</v>
      </c>
      <c r="H8" s="15" t="s">
        <v>92</v>
      </c>
      <c r="I8" s="33" t="s">
        <v>462</v>
      </c>
      <c r="J8" s="33"/>
      <c r="K8" s="33"/>
      <c r="L8" s="6" t="str">
        <f>IF(I8="","",IF(LENB(I8)/2&lt;=5,"OK","超過"))</f>
        <v>OK</v>
      </c>
      <c r="M8" s="17" t="s">
        <v>6</v>
      </c>
      <c r="N8" s="17"/>
      <c r="O8" s="17"/>
      <c r="P8" s="17"/>
      <c r="Q8" s="17"/>
      <c r="R8" s="17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 spans="1:33" ht="21.95" customHeight="1" x14ac:dyDescent="0.25">
      <c r="A9" s="32"/>
      <c r="B9" s="32"/>
      <c r="C9" s="15" t="s">
        <v>93</v>
      </c>
      <c r="D9" s="33" t="s">
        <v>457</v>
      </c>
      <c r="E9" s="33"/>
      <c r="F9" s="33"/>
      <c r="G9" s="6" t="str">
        <f>IF(D9="","",IF(LENB(D9)/2&lt;=5,"OK","超過"))</f>
        <v>OK</v>
      </c>
      <c r="H9" s="15" t="s">
        <v>90</v>
      </c>
      <c r="I9" s="33" t="s">
        <v>463</v>
      </c>
      <c r="J9" s="33"/>
      <c r="K9" s="33"/>
      <c r="L9" s="6" t="str">
        <f>IF(I9="","",IF(LENB(I9)/2&lt;=3,"OK","超過"))</f>
        <v>OK</v>
      </c>
      <c r="M9" s="17" t="s">
        <v>6</v>
      </c>
      <c r="N9" s="17"/>
      <c r="O9" s="17"/>
      <c r="P9" s="17"/>
      <c r="Q9" s="17"/>
      <c r="R9" s="17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1" spans="1:33" ht="23.1" customHeight="1" x14ac:dyDescent="0.25">
      <c r="A11" s="32" t="s">
        <v>60</v>
      </c>
      <c r="B11" s="32" t="s">
        <v>94</v>
      </c>
      <c r="C11" s="30" t="s">
        <v>95</v>
      </c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T11" s="14" t="s">
        <v>61</v>
      </c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ht="21.95" customHeight="1" x14ac:dyDescent="0.25">
      <c r="A12" s="32"/>
      <c r="B12" s="32"/>
      <c r="C12" s="15" t="s">
        <v>87</v>
      </c>
      <c r="D12" s="33" t="s">
        <v>466</v>
      </c>
      <c r="E12" s="33"/>
      <c r="F12" s="33"/>
      <c r="G12" s="33"/>
      <c r="H12" s="33"/>
      <c r="I12" s="33"/>
      <c r="J12" s="6" t="str">
        <f>IF(D12="","",IF(LENB(D12)/2&lt;=7,"OK","超過"))</f>
        <v>OK</v>
      </c>
      <c r="K12" s="15" t="s">
        <v>89</v>
      </c>
      <c r="L12" s="23" t="s">
        <v>470</v>
      </c>
      <c r="M12" s="23"/>
      <c r="N12" s="23"/>
      <c r="O12" s="23"/>
      <c r="P12" s="23"/>
      <c r="Q12" s="23"/>
      <c r="R12" s="6" t="str">
        <f>IF(L12="","待填",IF(ISNUMBER(SEARCH(".",L12)),"OK","記得加副檔名"))</f>
        <v>OK</v>
      </c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spans="1:33" ht="21.95" customHeight="1" x14ac:dyDescent="0.25">
      <c r="A13" s="32"/>
      <c r="B13" s="32"/>
      <c r="C13" s="15" t="s">
        <v>91</v>
      </c>
      <c r="D13" s="33" t="s">
        <v>467</v>
      </c>
      <c r="E13" s="33"/>
      <c r="F13" s="33"/>
      <c r="G13" s="33"/>
      <c r="H13" s="33"/>
      <c r="I13" s="33"/>
      <c r="J13" s="6" t="str">
        <f>IF(D13="","",IF(LENB(D13)/2&lt;=8,"OK","超過"))</f>
        <v>OK</v>
      </c>
      <c r="K13" s="15" t="s">
        <v>96</v>
      </c>
      <c r="L13" s="33" t="s">
        <v>471</v>
      </c>
      <c r="M13" s="33"/>
      <c r="N13" s="33"/>
      <c r="O13" s="33"/>
      <c r="P13" s="33"/>
      <c r="Q13" s="33"/>
      <c r="R13" s="6" t="str">
        <f>IF(L13="","待填","OK")</f>
        <v>OK</v>
      </c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</row>
    <row r="14" spans="1:33" ht="21.95" customHeight="1" x14ac:dyDescent="0.25">
      <c r="A14" s="32"/>
      <c r="B14" s="32"/>
      <c r="C14" s="15" t="s">
        <v>91</v>
      </c>
      <c r="D14" s="33" t="s">
        <v>468</v>
      </c>
      <c r="E14" s="33"/>
      <c r="F14" s="33"/>
      <c r="G14" s="33"/>
      <c r="H14" s="33"/>
      <c r="I14" s="33"/>
      <c r="J14" s="6" t="str">
        <f>IF(D14="","",IF(LENB(D14)/2&lt;=8,"OK","超過"))</f>
        <v>OK</v>
      </c>
      <c r="K14" s="15" t="s">
        <v>93</v>
      </c>
      <c r="L14" s="33" t="s">
        <v>472</v>
      </c>
      <c r="M14" s="33"/>
      <c r="N14" s="33"/>
      <c r="O14" s="33"/>
      <c r="P14" s="33"/>
      <c r="Q14" s="33"/>
      <c r="R14" s="6" t="str">
        <f>IF(L14="","",IF(LENB(L14)/2&lt;=5,"OK","超過"))</f>
        <v>OK</v>
      </c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spans="1:33" ht="21.95" customHeight="1" x14ac:dyDescent="0.25">
      <c r="A15" s="32"/>
      <c r="B15" s="32"/>
      <c r="C15" s="15" t="s">
        <v>92</v>
      </c>
      <c r="D15" s="33" t="s">
        <v>469</v>
      </c>
      <c r="E15" s="33"/>
      <c r="F15" s="33"/>
      <c r="G15" s="33"/>
      <c r="H15" s="33"/>
      <c r="I15" s="33"/>
      <c r="J15" s="6" t="str">
        <f>IF(D15="","",IF(LENB(D15)/2&lt;=9,"OK","超過"))</f>
        <v>OK</v>
      </c>
      <c r="K15" s="15" t="s">
        <v>97</v>
      </c>
      <c r="L15" s="33" t="s">
        <v>473</v>
      </c>
      <c r="M15" s="33"/>
      <c r="N15" s="33"/>
      <c r="O15" s="33"/>
      <c r="P15" s="33"/>
      <c r="Q15" s="33"/>
      <c r="R15" s="6" t="str">
        <f>IF(L15="","",IF(LENB(L15)/2&lt;=5,"OK","超過"))</f>
        <v>OK</v>
      </c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spans="1:33" ht="21.95" customHeight="1" x14ac:dyDescent="0.25">
      <c r="A16" s="32"/>
      <c r="B16" s="32"/>
      <c r="C16" s="17"/>
      <c r="D16" s="17"/>
      <c r="E16" s="17"/>
      <c r="F16" s="17"/>
      <c r="G16" s="17"/>
      <c r="H16" s="17"/>
      <c r="I16" s="17"/>
      <c r="J16" s="17"/>
      <c r="K16" s="15" t="s">
        <v>97</v>
      </c>
      <c r="L16" s="33" t="s">
        <v>6</v>
      </c>
      <c r="M16" s="33"/>
      <c r="N16" s="33"/>
      <c r="O16" s="33"/>
      <c r="P16" s="33"/>
      <c r="Q16" s="33"/>
      <c r="R16" s="6" t="str">
        <f>IF(L16="","",IF(LENB(L16)/2&lt;=5,"OK","超過"))</f>
        <v/>
      </c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 spans="1:33" ht="21.95" customHeight="1" x14ac:dyDescent="0.25">
      <c r="A17" s="32"/>
      <c r="B17" s="32"/>
      <c r="C17" s="17"/>
      <c r="D17" s="17"/>
      <c r="E17" s="17"/>
      <c r="F17" s="17"/>
      <c r="G17" s="17"/>
      <c r="H17" s="17"/>
      <c r="I17" s="17"/>
      <c r="J17" s="17"/>
      <c r="K17" s="15" t="s">
        <v>98</v>
      </c>
      <c r="L17" s="33" t="s">
        <v>474</v>
      </c>
      <c r="M17" s="33"/>
      <c r="N17" s="33"/>
      <c r="O17" s="33"/>
      <c r="P17" s="33"/>
      <c r="Q17" s="33"/>
      <c r="R17" s="6" t="str">
        <f>IF(L17="","待填","OK")</f>
        <v>OK</v>
      </c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 spans="1:33" ht="21.95" customHeight="1" x14ac:dyDescent="0.25">
      <c r="A18" s="32"/>
      <c r="B18" s="32"/>
      <c r="C18" s="17"/>
      <c r="D18" s="17"/>
      <c r="E18" s="17"/>
      <c r="F18" s="17"/>
      <c r="G18" s="17"/>
      <c r="H18" s="17"/>
      <c r="I18" s="17"/>
      <c r="J18" s="17"/>
      <c r="K18" s="15" t="s">
        <v>99</v>
      </c>
      <c r="L18" s="33" t="s">
        <v>292</v>
      </c>
      <c r="M18" s="33"/>
      <c r="N18" s="33"/>
      <c r="O18" s="33"/>
      <c r="P18" s="33"/>
      <c r="Q18" s="33"/>
      <c r="R18" s="6" t="str">
        <f>IF(L18="","待填","OK")</f>
        <v>OK</v>
      </c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20" spans="1:33" ht="23.1" customHeight="1" x14ac:dyDescent="0.25">
      <c r="A20" s="32" t="s">
        <v>60</v>
      </c>
      <c r="B20" s="32" t="s">
        <v>100</v>
      </c>
      <c r="C20" s="30" t="s">
        <v>95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T20" s="14" t="s">
        <v>65</v>
      </c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 ht="21.95" customHeight="1" x14ac:dyDescent="0.25">
      <c r="A21" s="32"/>
      <c r="B21" s="32"/>
      <c r="C21" s="15" t="s">
        <v>87</v>
      </c>
      <c r="D21" s="33" t="s">
        <v>466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6" t="str">
        <f>IF(D21="","",IF(LENB(D21)/2&lt;=7,"OK","超過"))</f>
        <v>OK</v>
      </c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spans="1:33" ht="21.95" customHeight="1" x14ac:dyDescent="0.25">
      <c r="A22" s="32"/>
      <c r="B22" s="32"/>
      <c r="C22" s="15" t="s">
        <v>92</v>
      </c>
      <c r="D22" s="33" t="s">
        <v>469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6" t="str">
        <f>IF(D22="","",IF(LENB(D22)/2&lt;=10,"OK","超過"))</f>
        <v>OK</v>
      </c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spans="1:33" ht="21.95" customHeight="1" x14ac:dyDescent="0.25">
      <c r="A23" s="32"/>
      <c r="B23" s="32"/>
      <c r="C23" s="18" t="s">
        <v>101</v>
      </c>
      <c r="D23" s="34" t="s">
        <v>84</v>
      </c>
      <c r="E23" s="34"/>
      <c r="F23" s="34"/>
      <c r="G23" s="34"/>
      <c r="H23" s="34"/>
      <c r="I23" s="34"/>
      <c r="J23" s="34"/>
      <c r="K23" s="34" t="s">
        <v>86</v>
      </c>
      <c r="L23" s="34"/>
      <c r="M23" s="34"/>
      <c r="N23" s="34"/>
      <c r="O23" s="34"/>
      <c r="P23" s="34"/>
      <c r="Q23" s="34"/>
      <c r="R23" s="34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spans="1:33" ht="21.95" customHeight="1" x14ac:dyDescent="0.25">
      <c r="A24" s="32"/>
      <c r="B24" s="32"/>
      <c r="C24" s="15" t="s">
        <v>102</v>
      </c>
      <c r="D24" s="33" t="s">
        <v>466</v>
      </c>
      <c r="E24" s="33"/>
      <c r="F24" s="33"/>
      <c r="G24" s="33"/>
      <c r="H24" s="33"/>
      <c r="I24" s="33"/>
      <c r="J24" s="6" t="str">
        <f>IF(D24="","",IF(LENB(D24)/2&lt;=6,"OK","超過"))</f>
        <v>OK</v>
      </c>
      <c r="K24" s="15" t="s">
        <v>102</v>
      </c>
      <c r="L24" s="33" t="s">
        <v>466</v>
      </c>
      <c r="M24" s="33"/>
      <c r="N24" s="33"/>
      <c r="O24" s="33"/>
      <c r="P24" s="33"/>
      <c r="Q24" s="33"/>
      <c r="R24" s="6" t="str">
        <f>IF(L24="","",IF(LENB(L24)/2&lt;=6,"OK","超過"))</f>
        <v>OK</v>
      </c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spans="1:33" ht="21.95" customHeight="1" x14ac:dyDescent="0.25">
      <c r="A25" s="32"/>
      <c r="B25" s="32"/>
      <c r="C25" s="15" t="s">
        <v>102</v>
      </c>
      <c r="D25" s="33" t="s">
        <v>475</v>
      </c>
      <c r="E25" s="33"/>
      <c r="F25" s="33"/>
      <c r="G25" s="33"/>
      <c r="H25" s="33"/>
      <c r="I25" s="33"/>
      <c r="J25" s="6" t="str">
        <f>IF(D25="","",IF(LENB(D25)/2&lt;=6,"OK","超過"))</f>
        <v>OK</v>
      </c>
      <c r="K25" s="15" t="s">
        <v>102</v>
      </c>
      <c r="L25" s="33" t="s">
        <v>475</v>
      </c>
      <c r="M25" s="33"/>
      <c r="N25" s="33"/>
      <c r="O25" s="33"/>
      <c r="P25" s="33"/>
      <c r="Q25" s="33"/>
      <c r="R25" s="6" t="str">
        <f>IF(L25="","",IF(LENB(L25)/2&lt;=6,"OK","超過"))</f>
        <v>OK</v>
      </c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 spans="1:33" ht="21.95" customHeight="1" x14ac:dyDescent="0.25">
      <c r="A26" s="32"/>
      <c r="B26" s="32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spans="1:33" ht="21.95" customHeight="1" x14ac:dyDescent="0.25">
      <c r="A27" s="32"/>
      <c r="B27" s="32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  <row r="28" spans="1:33" ht="21.95" customHeight="1" x14ac:dyDescent="0.25">
      <c r="A28" s="32"/>
      <c r="B28" s="32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</row>
    <row r="29" spans="1:33" ht="21.95" customHeight="1" x14ac:dyDescent="0.25">
      <c r="A29" s="32"/>
      <c r="B29" s="32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1" spans="1:33" ht="23.1" customHeight="1" x14ac:dyDescent="0.25">
      <c r="A31" s="32" t="s">
        <v>60</v>
      </c>
      <c r="B31" s="32" t="s">
        <v>103</v>
      </c>
      <c r="C31" s="30" t="s">
        <v>84</v>
      </c>
      <c r="D31" s="30"/>
      <c r="E31" s="30"/>
      <c r="F31" s="30"/>
      <c r="G31" s="30" t="s">
        <v>86</v>
      </c>
      <c r="H31" s="30"/>
      <c r="I31" s="30"/>
      <c r="J31" s="30"/>
      <c r="K31" s="30" t="s">
        <v>104</v>
      </c>
      <c r="L31" s="30"/>
      <c r="M31" s="30"/>
      <c r="N31" s="30"/>
      <c r="O31" s="30" t="s">
        <v>104</v>
      </c>
      <c r="P31" s="30"/>
      <c r="Q31" s="30"/>
      <c r="R31" s="30"/>
      <c r="T31" s="14" t="s">
        <v>69</v>
      </c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 ht="21.95" customHeight="1" x14ac:dyDescent="0.25">
      <c r="A32" s="32"/>
      <c r="B32" s="32"/>
      <c r="C32" s="15" t="s">
        <v>87</v>
      </c>
      <c r="D32" s="33" t="s">
        <v>466</v>
      </c>
      <c r="E32" s="33"/>
      <c r="F32" s="6" t="str">
        <f>IF(D32="","",IF(LENB(D32)/2&lt;=6,"OK","超過"))</f>
        <v>OK</v>
      </c>
      <c r="G32" s="15" t="s">
        <v>87</v>
      </c>
      <c r="H32" s="33" t="s">
        <v>466</v>
      </c>
      <c r="I32" s="33"/>
      <c r="J32" s="6" t="str">
        <f>IF(H32="","",IF(LENB(H32)/2&lt;=6,"OK","超過"))</f>
        <v>OK</v>
      </c>
      <c r="K32" s="17" t="s">
        <v>6</v>
      </c>
      <c r="L32" s="17"/>
      <c r="M32" s="17"/>
      <c r="N32" s="17"/>
      <c r="O32" s="17" t="s">
        <v>6</v>
      </c>
      <c r="P32" s="17"/>
      <c r="Q32" s="17"/>
      <c r="R32" s="17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</row>
    <row r="33" spans="1:33" ht="21.95" customHeight="1" x14ac:dyDescent="0.25">
      <c r="A33" s="32"/>
      <c r="B33" s="32"/>
      <c r="C33" s="15" t="s">
        <v>89</v>
      </c>
      <c r="D33" s="23" t="s">
        <v>470</v>
      </c>
      <c r="E33" s="23"/>
      <c r="F33" s="6" t="str">
        <f>IF(D33="","待填",IF(ISNUMBER(SEARCH(".",D33)),"OK","記得加副檔名"))</f>
        <v>OK</v>
      </c>
      <c r="G33" s="15" t="s">
        <v>89</v>
      </c>
      <c r="H33" s="23" t="s">
        <v>470</v>
      </c>
      <c r="I33" s="23"/>
      <c r="J33" s="6" t="str">
        <f>IF(H33="","待填",IF(ISNUMBER(SEARCH(".",H33)),"OK","記得加副檔名"))</f>
        <v>OK</v>
      </c>
      <c r="K33" s="17" t="s">
        <v>6</v>
      </c>
      <c r="L33" s="17"/>
      <c r="M33" s="17"/>
      <c r="N33" s="17"/>
      <c r="O33" s="17" t="s">
        <v>6</v>
      </c>
      <c r="P33" s="17"/>
      <c r="Q33" s="17"/>
      <c r="R33" s="17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</row>
    <row r="34" spans="1:33" ht="21.95" customHeight="1" x14ac:dyDescent="0.25">
      <c r="A34" s="32"/>
      <c r="B34" s="32"/>
      <c r="C34" s="15" t="s">
        <v>91</v>
      </c>
      <c r="D34" s="33" t="s">
        <v>467</v>
      </c>
      <c r="E34" s="33"/>
      <c r="F34" s="6" t="str">
        <f>IF(D34="","",IF(LENB(D34)/2&lt;=8,"OK","超過"))</f>
        <v>OK</v>
      </c>
      <c r="G34" s="15" t="s">
        <v>91</v>
      </c>
      <c r="H34" s="33" t="s">
        <v>467</v>
      </c>
      <c r="I34" s="33"/>
      <c r="J34" s="6" t="str">
        <f>IF(H34="","",IF(LENB(H34)/2&lt;=8,"OK","超過"))</f>
        <v>OK</v>
      </c>
      <c r="K34" s="17" t="s">
        <v>6</v>
      </c>
      <c r="L34" s="17"/>
      <c r="M34" s="17"/>
      <c r="N34" s="17"/>
      <c r="O34" s="17" t="s">
        <v>6</v>
      </c>
      <c r="P34" s="17"/>
      <c r="Q34" s="17"/>
      <c r="R34" s="17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</row>
    <row r="35" spans="1:33" ht="21.95" customHeight="1" x14ac:dyDescent="0.25">
      <c r="A35" s="32"/>
      <c r="B35" s="32"/>
      <c r="C35" s="15" t="s">
        <v>91</v>
      </c>
      <c r="D35" s="33" t="s">
        <v>476</v>
      </c>
      <c r="E35" s="33"/>
      <c r="F35" s="6" t="str">
        <f>IF(D35="","",IF(LENB(D35)/2&lt;=8,"OK","超過"))</f>
        <v>OK</v>
      </c>
      <c r="G35" s="15" t="s">
        <v>91</v>
      </c>
      <c r="H35" s="33" t="s">
        <v>476</v>
      </c>
      <c r="I35" s="33"/>
      <c r="J35" s="6" t="str">
        <f>IF(H35="","",IF(LENB(H35)/2&lt;=8,"OK","超過"))</f>
        <v>OK</v>
      </c>
      <c r="K35" s="17" t="s">
        <v>6</v>
      </c>
      <c r="L35" s="17"/>
      <c r="M35" s="17"/>
      <c r="N35" s="17"/>
      <c r="O35" s="17" t="s">
        <v>6</v>
      </c>
      <c r="P35" s="17"/>
      <c r="Q35" s="17"/>
      <c r="R35" s="17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</row>
    <row r="36" spans="1:33" ht="21.95" customHeight="1" x14ac:dyDescent="0.25">
      <c r="A36" s="32"/>
      <c r="B36" s="32"/>
      <c r="C36" s="15" t="s">
        <v>93</v>
      </c>
      <c r="D36" s="33" t="s">
        <v>462</v>
      </c>
      <c r="E36" s="33"/>
      <c r="F36" s="6" t="str">
        <f>IF(D36="","",IF(LENB(D36)/2&lt;=5,"OK","超過"))</f>
        <v>OK</v>
      </c>
      <c r="G36" s="15" t="s">
        <v>93</v>
      </c>
      <c r="H36" s="33" t="s">
        <v>462</v>
      </c>
      <c r="I36" s="33"/>
      <c r="J36" s="6" t="str">
        <f>IF(H36="","",IF(LENB(H36)/2&lt;=5,"OK","超過"))</f>
        <v>OK</v>
      </c>
      <c r="K36" s="17" t="s">
        <v>6</v>
      </c>
      <c r="L36" s="17"/>
      <c r="M36" s="17"/>
      <c r="N36" s="17"/>
      <c r="O36" s="17" t="s">
        <v>6</v>
      </c>
      <c r="P36" s="17"/>
      <c r="Q36" s="17"/>
      <c r="R36" s="17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</row>
    <row r="37" spans="1:33" ht="21.95" customHeight="1" x14ac:dyDescent="0.25">
      <c r="A37" s="32"/>
      <c r="B37" s="32"/>
      <c r="C37" s="17" t="s">
        <v>6</v>
      </c>
      <c r="D37" s="17"/>
      <c r="E37" s="17"/>
      <c r="F37" s="17"/>
      <c r="G37" s="17" t="s">
        <v>6</v>
      </c>
      <c r="H37" s="17"/>
      <c r="I37" s="17"/>
      <c r="J37" s="17"/>
      <c r="K37" s="17" t="s">
        <v>6</v>
      </c>
      <c r="L37" s="17"/>
      <c r="M37" s="17"/>
      <c r="N37" s="17"/>
      <c r="O37" s="17" t="s">
        <v>6</v>
      </c>
      <c r="P37" s="17"/>
      <c r="Q37" s="17"/>
      <c r="R37" s="17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</row>
    <row r="39" spans="1:33" ht="23.1" customHeight="1" x14ac:dyDescent="0.25">
      <c r="A39" s="32" t="s">
        <v>60</v>
      </c>
      <c r="B39" s="32" t="s">
        <v>105</v>
      </c>
      <c r="C39" s="30" t="s">
        <v>86</v>
      </c>
      <c r="D39" s="30"/>
      <c r="E39" s="30"/>
      <c r="F39" s="30"/>
      <c r="G39" s="30" t="s">
        <v>85</v>
      </c>
      <c r="H39" s="30"/>
      <c r="I39" s="30"/>
      <c r="J39" s="30"/>
      <c r="K39" s="30" t="s">
        <v>84</v>
      </c>
      <c r="L39" s="30"/>
      <c r="M39" s="30"/>
      <c r="N39" s="30"/>
      <c r="O39" s="30" t="s">
        <v>104</v>
      </c>
      <c r="P39" s="30"/>
      <c r="Q39" s="30"/>
      <c r="R39" s="30"/>
      <c r="T39" s="14" t="s">
        <v>73</v>
      </c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3" ht="21.95" customHeight="1" x14ac:dyDescent="0.25">
      <c r="A40" s="32"/>
      <c r="B40" s="32"/>
      <c r="C40" s="15" t="s">
        <v>106</v>
      </c>
      <c r="D40" s="23" t="s">
        <v>470</v>
      </c>
      <c r="E40" s="23"/>
      <c r="F40" s="6" t="str">
        <f>IF(D40="","待填",IF(ISNUMBER(SEARCH(".",D40)),"OK","記得加副檔名"))</f>
        <v>OK</v>
      </c>
      <c r="G40" s="15" t="s">
        <v>106</v>
      </c>
      <c r="H40" s="23" t="s">
        <v>478</v>
      </c>
      <c r="I40" s="23"/>
      <c r="J40" s="6" t="str">
        <f>IF(H40="","待填",IF(ISNUMBER(SEARCH(".",H40)),"OK","記得加副檔名"))</f>
        <v>OK</v>
      </c>
      <c r="K40" s="15" t="s">
        <v>106</v>
      </c>
      <c r="L40" s="23" t="s">
        <v>470</v>
      </c>
      <c r="M40" s="23"/>
      <c r="N40" s="6" t="str">
        <f>IF(L40="","待填",IF(ISNUMBER(SEARCH(".",L40)),"OK","記得加副檔名"))</f>
        <v>OK</v>
      </c>
      <c r="O40" s="17" t="s">
        <v>6</v>
      </c>
      <c r="P40" s="17"/>
      <c r="Q40" s="17"/>
      <c r="R40" s="17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</row>
    <row r="41" spans="1:33" ht="21.95" customHeight="1" x14ac:dyDescent="0.25">
      <c r="A41" s="32"/>
      <c r="B41" s="32"/>
      <c r="C41" s="15" t="s">
        <v>91</v>
      </c>
      <c r="D41" s="33" t="s">
        <v>477</v>
      </c>
      <c r="E41" s="33"/>
      <c r="F41" s="6" t="str">
        <f>IF(D41="","",IF(LENB(D41)/2&lt;=7,"OK","超過"))</f>
        <v>OK</v>
      </c>
      <c r="G41" s="15" t="s">
        <v>91</v>
      </c>
      <c r="H41" s="33" t="s">
        <v>477</v>
      </c>
      <c r="I41" s="33"/>
      <c r="J41" s="6" t="str">
        <f>IF(H41="","",IF(LENB(H41)/2&lt;=7,"OK","超過"))</f>
        <v>OK</v>
      </c>
      <c r="K41" s="15" t="s">
        <v>91</v>
      </c>
      <c r="L41" s="33" t="s">
        <v>477</v>
      </c>
      <c r="M41" s="33"/>
      <c r="N41" s="6" t="str">
        <f>IF(L41="","",IF(LENB(L41)/2&lt;=7,"OK","超過"))</f>
        <v>OK</v>
      </c>
      <c r="O41" s="17" t="s">
        <v>6</v>
      </c>
      <c r="P41" s="17"/>
      <c r="Q41" s="17"/>
      <c r="R41" s="17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 spans="1:33" ht="21.95" customHeight="1" x14ac:dyDescent="0.25">
      <c r="A42" s="32"/>
      <c r="B42" s="32"/>
      <c r="C42" s="15" t="s">
        <v>92</v>
      </c>
      <c r="D42" s="33" t="s">
        <v>462</v>
      </c>
      <c r="E42" s="33"/>
      <c r="F42" s="6" t="str">
        <f>IF(D42="","",IF(LENB(D42)/2&lt;=8,"OK","超過"))</f>
        <v>OK</v>
      </c>
      <c r="G42" s="15" t="s">
        <v>92</v>
      </c>
      <c r="H42" s="33" t="s">
        <v>462</v>
      </c>
      <c r="I42" s="33"/>
      <c r="J42" s="6" t="str">
        <f>IF(H42="","",IF(LENB(H42)/2&lt;=8,"OK","超過"))</f>
        <v>OK</v>
      </c>
      <c r="K42" s="15" t="s">
        <v>92</v>
      </c>
      <c r="L42" s="33" t="s">
        <v>462</v>
      </c>
      <c r="M42" s="33"/>
      <c r="N42" s="6" t="str">
        <f>IF(L42="","",IF(LENB(L42)/2&lt;=8,"OK","超過"))</f>
        <v>OK</v>
      </c>
      <c r="O42" s="17" t="s">
        <v>6</v>
      </c>
      <c r="P42" s="17"/>
      <c r="Q42" s="17"/>
      <c r="R42" s="17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spans="1:33" ht="21.95" customHeight="1" x14ac:dyDescent="0.25">
      <c r="A43" s="32"/>
      <c r="B43" s="32"/>
      <c r="C43" s="17" t="s">
        <v>6</v>
      </c>
      <c r="D43" s="17"/>
      <c r="E43" s="17"/>
      <c r="F43" s="17"/>
      <c r="G43" s="17" t="s">
        <v>6</v>
      </c>
      <c r="H43" s="17"/>
      <c r="I43" s="17"/>
      <c r="J43" s="17"/>
      <c r="K43" s="17" t="s">
        <v>6</v>
      </c>
      <c r="L43" s="17"/>
      <c r="M43" s="17"/>
      <c r="N43" s="17"/>
      <c r="O43" s="17" t="s">
        <v>6</v>
      </c>
      <c r="P43" s="17"/>
      <c r="Q43" s="17"/>
      <c r="R43" s="17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</row>
    <row r="44" spans="1:33" ht="21.95" customHeight="1" x14ac:dyDescent="0.25">
      <c r="A44" s="32"/>
      <c r="B44" s="32"/>
      <c r="C44" s="17" t="s">
        <v>6</v>
      </c>
      <c r="D44" s="17"/>
      <c r="E44" s="17"/>
      <c r="F44" s="17"/>
      <c r="G44" s="17" t="s">
        <v>6</v>
      </c>
      <c r="H44" s="17"/>
      <c r="I44" s="17"/>
      <c r="J44" s="17"/>
      <c r="K44" s="17" t="s">
        <v>6</v>
      </c>
      <c r="L44" s="17"/>
      <c r="M44" s="17"/>
      <c r="N44" s="17"/>
      <c r="O44" s="17" t="s">
        <v>6</v>
      </c>
      <c r="P44" s="17"/>
      <c r="Q44" s="17"/>
      <c r="R44" s="17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</row>
    <row r="45" spans="1:33" ht="21.95" customHeight="1" x14ac:dyDescent="0.25">
      <c r="A45" s="32"/>
      <c r="B45" s="32"/>
      <c r="C45" s="17" t="s">
        <v>6</v>
      </c>
      <c r="D45" s="17"/>
      <c r="E45" s="17"/>
      <c r="F45" s="17"/>
      <c r="G45" s="17" t="s">
        <v>6</v>
      </c>
      <c r="H45" s="17"/>
      <c r="I45" s="17"/>
      <c r="J45" s="17"/>
      <c r="K45" s="17" t="s">
        <v>6</v>
      </c>
      <c r="L45" s="17"/>
      <c r="M45" s="17"/>
      <c r="N45" s="17"/>
      <c r="O45" s="17" t="s">
        <v>6</v>
      </c>
      <c r="P45" s="17"/>
      <c r="Q45" s="17"/>
      <c r="R45" s="17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</row>
    <row r="47" spans="1:33" ht="21.95" customHeight="1" x14ac:dyDescent="0.25">
      <c r="A47" s="16"/>
      <c r="B47" s="16"/>
      <c r="C47" s="35" t="s">
        <v>107</v>
      </c>
      <c r="D47" s="35"/>
      <c r="E47" s="35"/>
      <c r="F47" s="35"/>
      <c r="G47" s="35"/>
      <c r="H47" s="35" t="s">
        <v>108</v>
      </c>
      <c r="I47" s="35"/>
      <c r="J47" s="35"/>
      <c r="K47" s="35"/>
      <c r="L47" s="35"/>
      <c r="M47" s="35" t="s">
        <v>109</v>
      </c>
      <c r="N47" s="35"/>
      <c r="O47" s="35"/>
      <c r="P47" s="35"/>
      <c r="Q47" s="35"/>
      <c r="R47" s="35" t="s">
        <v>110</v>
      </c>
      <c r="S47" s="35"/>
      <c r="T47" s="35"/>
      <c r="U47" s="35"/>
      <c r="V47" s="35"/>
      <c r="W47" s="35"/>
      <c r="X47" s="35"/>
      <c r="Y47" s="35"/>
      <c r="Z47" s="35" t="s">
        <v>111</v>
      </c>
      <c r="AA47" s="35"/>
      <c r="AB47" s="35"/>
      <c r="AC47" s="35"/>
      <c r="AD47" s="35"/>
      <c r="AE47" s="35"/>
      <c r="AF47" s="35"/>
      <c r="AG47" s="35"/>
    </row>
    <row r="48" spans="1:33" ht="30" customHeight="1" x14ac:dyDescent="0.25">
      <c r="A48" s="38" t="s">
        <v>112</v>
      </c>
      <c r="B48" s="39" t="s">
        <v>113</v>
      </c>
      <c r="C48" s="40" t="s">
        <v>114</v>
      </c>
      <c r="D48" s="19" t="s">
        <v>115</v>
      </c>
      <c r="E48" s="36" t="s">
        <v>481</v>
      </c>
      <c r="F48" s="36"/>
      <c r="G48" s="36"/>
      <c r="H48" s="40" t="s">
        <v>114</v>
      </c>
      <c r="I48" s="19" t="s">
        <v>115</v>
      </c>
      <c r="J48" s="36" t="s">
        <v>116</v>
      </c>
      <c r="K48" s="36"/>
      <c r="L48" s="36"/>
      <c r="M48" s="40" t="s">
        <v>114</v>
      </c>
      <c r="N48" s="19" t="s">
        <v>115</v>
      </c>
      <c r="O48" s="37" t="s">
        <v>117</v>
      </c>
      <c r="P48" s="37"/>
      <c r="Q48" s="37"/>
      <c r="R48" s="40" t="s">
        <v>114</v>
      </c>
      <c r="S48" s="19" t="s">
        <v>115</v>
      </c>
      <c r="T48" s="37" t="s">
        <v>117</v>
      </c>
      <c r="U48" s="37"/>
      <c r="V48" s="37"/>
      <c r="W48" s="37"/>
      <c r="X48" s="37"/>
      <c r="Y48" s="37"/>
      <c r="Z48" s="40" t="s">
        <v>114</v>
      </c>
      <c r="AA48" s="19" t="s">
        <v>115</v>
      </c>
      <c r="AB48" s="37" t="s">
        <v>117</v>
      </c>
      <c r="AC48" s="37"/>
      <c r="AD48" s="37"/>
      <c r="AE48" s="37"/>
      <c r="AF48" s="37"/>
      <c r="AG48" s="37"/>
    </row>
    <row r="49" spans="1:33" ht="30" customHeight="1" x14ac:dyDescent="0.25">
      <c r="A49" s="38"/>
      <c r="B49" s="39"/>
      <c r="C49" s="40"/>
      <c r="D49" s="20" t="s">
        <v>118</v>
      </c>
      <c r="E49" s="36" t="s">
        <v>119</v>
      </c>
      <c r="F49" s="36"/>
      <c r="G49" s="36"/>
      <c r="H49" s="40"/>
      <c r="I49" s="20" t="s">
        <v>118</v>
      </c>
      <c r="J49" s="36" t="s">
        <v>480</v>
      </c>
      <c r="K49" s="36"/>
      <c r="L49" s="36"/>
      <c r="M49" s="40"/>
      <c r="N49" s="20" t="s">
        <v>118</v>
      </c>
      <c r="O49" s="37" t="s">
        <v>480</v>
      </c>
      <c r="P49" s="37"/>
      <c r="Q49" s="37"/>
      <c r="R49" s="40"/>
      <c r="S49" s="20" t="s">
        <v>118</v>
      </c>
      <c r="T49" s="37" t="s">
        <v>484</v>
      </c>
      <c r="U49" s="37"/>
      <c r="V49" s="37"/>
      <c r="W49" s="37"/>
      <c r="X49" s="37"/>
      <c r="Y49" s="37"/>
      <c r="Z49" s="40"/>
      <c r="AA49" s="20" t="s">
        <v>118</v>
      </c>
      <c r="AB49" s="37" t="s">
        <v>117</v>
      </c>
      <c r="AC49" s="37"/>
      <c r="AD49" s="37"/>
      <c r="AE49" s="37"/>
      <c r="AF49" s="37"/>
      <c r="AG49" s="37"/>
    </row>
    <row r="50" spans="1:33" ht="30" customHeight="1" x14ac:dyDescent="0.25">
      <c r="A50" s="38"/>
      <c r="B50" s="39"/>
      <c r="C50" s="43" t="s">
        <v>479</v>
      </c>
      <c r="D50" s="41"/>
      <c r="E50" s="41"/>
      <c r="F50" s="41"/>
      <c r="G50" s="21">
        <f>IF(OR(C50="",C50="文案5字內"),"",LENB(C50)/2)</f>
        <v>3</v>
      </c>
      <c r="H50" s="44" t="s">
        <v>483</v>
      </c>
      <c r="I50" s="41"/>
      <c r="J50" s="41"/>
      <c r="K50" s="41"/>
      <c r="L50" s="21">
        <f>IF(OR(H50="",H50="文案5字內"),"",LENB(H50)/2)</f>
        <v>2.5</v>
      </c>
      <c r="M50" s="42" t="s">
        <v>483</v>
      </c>
      <c r="N50" s="42"/>
      <c r="O50" s="42"/>
      <c r="P50" s="42"/>
      <c r="Q50" s="21">
        <f>IF(OR(M50="",M50="(需要再填即可)"),"",LENB(M50)/2)</f>
        <v>2.5</v>
      </c>
      <c r="R50" s="42" t="s">
        <v>482</v>
      </c>
      <c r="S50" s="42"/>
      <c r="T50" s="42"/>
      <c r="U50" s="42"/>
      <c r="V50" s="42"/>
      <c r="W50" s="42"/>
      <c r="X50" s="42"/>
      <c r="Y50" s="21">
        <f>IF(OR(R50="",R50="(需要再填即可)"),"",LENB(R50)/2)</f>
        <v>2.5</v>
      </c>
      <c r="Z50" s="42" t="s">
        <v>117</v>
      </c>
      <c r="AA50" s="42"/>
      <c r="AB50" s="42"/>
      <c r="AC50" s="42"/>
      <c r="AD50" s="42"/>
      <c r="AE50" s="42"/>
      <c r="AF50" s="42"/>
      <c r="AG50" s="21" t="str">
        <f>IF(OR(Z50="",Z50="(需要再填即可)"),"",LENB(Z50)/2)</f>
        <v/>
      </c>
    </row>
  </sheetData>
  <sheetProtection sheet="1" autoFilter="0"/>
  <autoFilter ref="A1:AG1" xr:uid="{00000000-0009-0000-0000-000001000000}"/>
  <mergeCells count="112">
    <mergeCell ref="T49:Y49"/>
    <mergeCell ref="Z48:Z49"/>
    <mergeCell ref="AB49:AG49"/>
    <mergeCell ref="C50:F50"/>
    <mergeCell ref="H50:K50"/>
    <mergeCell ref="M50:P50"/>
    <mergeCell ref="R50:X50"/>
    <mergeCell ref="Z50:AF50"/>
    <mergeCell ref="A48:A50"/>
    <mergeCell ref="B48:B50"/>
    <mergeCell ref="C48:C49"/>
    <mergeCell ref="E49:G49"/>
    <mergeCell ref="H48:H49"/>
    <mergeCell ref="J49:L49"/>
    <mergeCell ref="M48:M49"/>
    <mergeCell ref="O49:Q49"/>
    <mergeCell ref="R48:R49"/>
    <mergeCell ref="C47:G47"/>
    <mergeCell ref="H47:L47"/>
    <mergeCell ref="M47:Q47"/>
    <mergeCell ref="R47:Y47"/>
    <mergeCell ref="Z47:AG47"/>
    <mergeCell ref="E48:G48"/>
    <mergeCell ref="J48:L48"/>
    <mergeCell ref="O48:Q48"/>
    <mergeCell ref="T48:Y48"/>
    <mergeCell ref="AB48:AG48"/>
    <mergeCell ref="C39:F39"/>
    <mergeCell ref="G39:J39"/>
    <mergeCell ref="K39:N39"/>
    <mergeCell ref="O39:R39"/>
    <mergeCell ref="A39:A45"/>
    <mergeCell ref="B39:B45"/>
    <mergeCell ref="D40:E40"/>
    <mergeCell ref="H40:I40"/>
    <mergeCell ref="L40:M40"/>
    <mergeCell ref="D41:E41"/>
    <mergeCell ref="H41:I41"/>
    <mergeCell ref="L41:M41"/>
    <mergeCell ref="D42:E42"/>
    <mergeCell ref="H42:I42"/>
    <mergeCell ref="L42:M42"/>
    <mergeCell ref="C31:F31"/>
    <mergeCell ref="G31:J31"/>
    <mergeCell ref="K31:N31"/>
    <mergeCell ref="O31:R31"/>
    <mergeCell ref="A31:A37"/>
    <mergeCell ref="B31:B37"/>
    <mergeCell ref="D32:E32"/>
    <mergeCell ref="H32:I32"/>
    <mergeCell ref="D33:E33"/>
    <mergeCell ref="H33:I33"/>
    <mergeCell ref="D34:E34"/>
    <mergeCell ref="H34:I34"/>
    <mergeCell ref="D35:E35"/>
    <mergeCell ref="H35:I35"/>
    <mergeCell ref="D36:E36"/>
    <mergeCell ref="H36:I36"/>
    <mergeCell ref="C20:R20"/>
    <mergeCell ref="A20:A29"/>
    <mergeCell ref="B20:B29"/>
    <mergeCell ref="D21:Q21"/>
    <mergeCell ref="D22:Q22"/>
    <mergeCell ref="D23:J23"/>
    <mergeCell ref="K23:R23"/>
    <mergeCell ref="D24:I24"/>
    <mergeCell ref="L24:Q24"/>
    <mergeCell ref="D25:I25"/>
    <mergeCell ref="L25:Q25"/>
    <mergeCell ref="I7:K7"/>
    <mergeCell ref="D8:F8"/>
    <mergeCell ref="I8:K8"/>
    <mergeCell ref="D9:F9"/>
    <mergeCell ref="I9:K9"/>
    <mergeCell ref="C11:R11"/>
    <mergeCell ref="A11:A18"/>
    <mergeCell ref="B11:B18"/>
    <mergeCell ref="D12:I12"/>
    <mergeCell ref="L12:Q12"/>
    <mergeCell ref="D13:I13"/>
    <mergeCell ref="L13:Q13"/>
    <mergeCell ref="D14:I14"/>
    <mergeCell ref="L14:Q14"/>
    <mergeCell ref="D15:I15"/>
    <mergeCell ref="L15:Q15"/>
    <mergeCell ref="L16:Q16"/>
    <mergeCell ref="L17:Q17"/>
    <mergeCell ref="L18:Q18"/>
    <mergeCell ref="C1:R1"/>
    <mergeCell ref="T1:AG1"/>
    <mergeCell ref="A1:A2"/>
    <mergeCell ref="B1:B2"/>
    <mergeCell ref="C2:R2"/>
    <mergeCell ref="T2:AG2"/>
    <mergeCell ref="C3:G3"/>
    <mergeCell ref="H3:L3"/>
    <mergeCell ref="M3:R3"/>
    <mergeCell ref="T3:W3"/>
    <mergeCell ref="X3:AB3"/>
    <mergeCell ref="AC3:AG3"/>
    <mergeCell ref="A3:A9"/>
    <mergeCell ref="B3:B9"/>
    <mergeCell ref="D4:F4"/>
    <mergeCell ref="I4:K4"/>
    <mergeCell ref="N4:Q4"/>
    <mergeCell ref="D5:F5"/>
    <mergeCell ref="I5:K5"/>
    <mergeCell ref="N5:Q5"/>
    <mergeCell ref="D6:F6"/>
    <mergeCell ref="I6:K6"/>
    <mergeCell ref="N6:Q6"/>
    <mergeCell ref="D7:F7"/>
  </mergeCells>
  <phoneticPr fontId="19" type="noConversion"/>
  <conditionalFormatting sqref="C50">
    <cfRule type="expression" dxfId="101" priority="243">
      <formula>AND(NOT(OR(C50="",C50="文案5字內")),LENB(C50)/2&gt;5)</formula>
    </cfRule>
  </conditionalFormatting>
  <conditionalFormatting sqref="D4">
    <cfRule type="expression" dxfId="100" priority="1">
      <formula>LENB(D4)/2&gt;8</formula>
    </cfRule>
  </conditionalFormatting>
  <conditionalFormatting sqref="D7">
    <cfRule type="expression" dxfId="99" priority="14">
      <formula>LENB(D7)/2&gt;8</formula>
    </cfRule>
  </conditionalFormatting>
  <conditionalFormatting sqref="D8">
    <cfRule type="expression" dxfId="98" priority="19">
      <formula>LENB(D8)/2&gt;10</formula>
    </cfRule>
  </conditionalFormatting>
  <conditionalFormatting sqref="D9">
    <cfRule type="expression" dxfId="97" priority="24">
      <formula>LENB(D9)/2&gt;5</formula>
    </cfRule>
  </conditionalFormatting>
  <conditionalFormatting sqref="D12">
    <cfRule type="expression" dxfId="96" priority="71">
      <formula>LENB(D12)/2&gt;7</formula>
    </cfRule>
  </conditionalFormatting>
  <conditionalFormatting sqref="D13:D14">
    <cfRule type="expression" dxfId="95" priority="80">
      <formula>LENB(D13)/2&gt;8</formula>
    </cfRule>
  </conditionalFormatting>
  <conditionalFormatting sqref="D15">
    <cfRule type="expression" dxfId="94" priority="99">
      <formula>LENB(D15)/2&gt;9</formula>
    </cfRule>
  </conditionalFormatting>
  <conditionalFormatting sqref="D21">
    <cfRule type="expression" dxfId="93" priority="122">
      <formula>LENB(D21)/2&gt;7</formula>
    </cfRule>
  </conditionalFormatting>
  <conditionalFormatting sqref="D22">
    <cfRule type="expression" dxfId="92" priority="127">
      <formula>LENB(D22)/2&gt;10</formula>
    </cfRule>
  </conditionalFormatting>
  <conditionalFormatting sqref="D24:D25">
    <cfRule type="expression" dxfId="91" priority="132">
      <formula>LENB(D24)/2&gt;6</formula>
    </cfRule>
  </conditionalFormatting>
  <conditionalFormatting sqref="D32">
    <cfRule type="expression" dxfId="90" priority="152">
      <formula>LENB(D32)/2&gt;6</formula>
    </cfRule>
  </conditionalFormatting>
  <conditionalFormatting sqref="D34:D35">
    <cfRule type="expression" dxfId="89" priority="161">
      <formula>LENB(D34)/2&gt;8</formula>
    </cfRule>
  </conditionalFormatting>
  <conditionalFormatting sqref="D36">
    <cfRule type="expression" dxfId="88" priority="171">
      <formula>LENB(D36)/2&gt;5</formula>
    </cfRule>
  </conditionalFormatting>
  <conditionalFormatting sqref="D41">
    <cfRule type="expression" dxfId="87" priority="204">
      <formula>LENB(D41)/2&gt;7</formula>
    </cfRule>
  </conditionalFormatting>
  <conditionalFormatting sqref="D42">
    <cfRule type="expression" dxfId="86" priority="209">
      <formula>LENB(D42)/2&gt;8</formula>
    </cfRule>
  </conditionalFormatting>
  <conditionalFormatting sqref="E48:E49">
    <cfRule type="expression" dxfId="85" priority="242">
      <formula>AND(NOT(OR(E48="",E48="(輸入許願的Icon，例：房子)")),NOT(OR(E49="",E49="(輸入圖檔名，例：三星.png)")))</formula>
    </cfRule>
  </conditionalFormatting>
  <conditionalFormatting sqref="F32:F36">
    <cfRule type="expression" dxfId="84" priority="155">
      <formula>F32="記得加副檔名"</formula>
    </cfRule>
    <cfRule type="expression" dxfId="83" priority="156">
      <formula>F32="OK"</formula>
    </cfRule>
    <cfRule type="expression" dxfId="82" priority="154">
      <formula>F32="禁用語"</formula>
    </cfRule>
    <cfRule type="expression" dxfId="81" priority="153">
      <formula>F32="超過"</formula>
    </cfRule>
  </conditionalFormatting>
  <conditionalFormatting sqref="F40:F42">
    <cfRule type="expression" dxfId="80" priority="200">
      <formula>F40="超過"</formula>
    </cfRule>
    <cfRule type="expression" dxfId="79" priority="201">
      <formula>F40="禁用語"</formula>
    </cfRule>
    <cfRule type="expression" dxfId="78" priority="202">
      <formula>F40="記得加副檔名"</formula>
    </cfRule>
    <cfRule type="expression" dxfId="77" priority="203">
      <formula>F40="OK"</formula>
    </cfRule>
  </conditionalFormatting>
  <conditionalFormatting sqref="G4:G9">
    <cfRule type="expression" dxfId="76" priority="2">
      <formula>G4="超過"</formula>
    </cfRule>
    <cfRule type="expression" dxfId="75" priority="3">
      <formula>G4="禁用語"</formula>
    </cfRule>
    <cfRule type="expression" dxfId="74" priority="4">
      <formula>G4="記得加副檔名"</formula>
    </cfRule>
    <cfRule type="expression" dxfId="73" priority="5">
      <formula>G4="OK"</formula>
    </cfRule>
  </conditionalFormatting>
  <conditionalFormatting sqref="G50">
    <cfRule type="expression" dxfId="72" priority="245">
      <formula>AND(ISNUMBER(G50),G50&lt;=5)</formula>
    </cfRule>
    <cfRule type="expression" dxfId="71" priority="244">
      <formula>G50&gt;5</formula>
    </cfRule>
  </conditionalFormatting>
  <conditionalFormatting sqref="H32">
    <cfRule type="expression" dxfId="70" priority="176">
      <formula>LENB(H32)/2&gt;6</formula>
    </cfRule>
  </conditionalFormatting>
  <conditionalFormatting sqref="H34:H35">
    <cfRule type="expression" dxfId="69" priority="185">
      <formula>LENB(H34)/2&gt;8</formula>
    </cfRule>
  </conditionalFormatting>
  <conditionalFormatting sqref="H36">
    <cfRule type="expression" dxfId="68" priority="195">
      <formula>LENB(H36)/2&gt;5</formula>
    </cfRule>
  </conditionalFormatting>
  <conditionalFormatting sqref="H41">
    <cfRule type="expression" dxfId="67" priority="218">
      <formula>LENB(H41)/2&gt;7</formula>
    </cfRule>
  </conditionalFormatting>
  <conditionalFormatting sqref="H42">
    <cfRule type="expression" dxfId="66" priority="223">
      <formula>LENB(H42)/2&gt;8</formula>
    </cfRule>
  </conditionalFormatting>
  <conditionalFormatting sqref="H50">
    <cfRule type="expression" dxfId="65" priority="247">
      <formula>AND(NOT(OR(H50="",H50="文案5字內")),LENB(H50)/2&gt;5)</formula>
    </cfRule>
  </conditionalFormatting>
  <conditionalFormatting sqref="I4">
    <cfRule type="expression" dxfId="64" priority="29">
      <formula>LENB(I4)/2&gt;8</formula>
    </cfRule>
  </conditionalFormatting>
  <conditionalFormatting sqref="I7">
    <cfRule type="expression" dxfId="63" priority="42">
      <formula>LENB(I7)/2&gt;4</formula>
    </cfRule>
  </conditionalFormatting>
  <conditionalFormatting sqref="I8">
    <cfRule type="expression" dxfId="62" priority="47">
      <formula>LENB(I8)/2&gt;5</formula>
    </cfRule>
  </conditionalFormatting>
  <conditionalFormatting sqref="I9">
    <cfRule type="expression" dxfId="61" priority="52">
      <formula>LENB(I9)/2&gt;3</formula>
    </cfRule>
  </conditionalFormatting>
  <conditionalFormatting sqref="J12:J15">
    <cfRule type="expression" dxfId="60" priority="75">
      <formula>J12="OK"</formula>
    </cfRule>
    <cfRule type="expression" dxfId="59" priority="72">
      <formula>J12="超過"</formula>
    </cfRule>
    <cfRule type="expression" dxfId="58" priority="73">
      <formula>J12="禁用語"</formula>
    </cfRule>
    <cfRule type="expression" dxfId="57" priority="74">
      <formula>J12="記得加副檔名"</formula>
    </cfRule>
  </conditionalFormatting>
  <conditionalFormatting sqref="J24:J25">
    <cfRule type="expression" dxfId="56" priority="135">
      <formula>J24="記得加副檔名"</formula>
    </cfRule>
    <cfRule type="expression" dxfId="55" priority="134">
      <formula>J24="禁用語"</formula>
    </cfRule>
    <cfRule type="expression" dxfId="54" priority="133">
      <formula>J24="超過"</formula>
    </cfRule>
    <cfRule type="expression" dxfId="53" priority="136">
      <formula>J24="OK"</formula>
    </cfRule>
  </conditionalFormatting>
  <conditionalFormatting sqref="J32:J36">
    <cfRule type="expression" dxfId="52" priority="180">
      <formula>J32="OK"</formula>
    </cfRule>
    <cfRule type="expression" dxfId="51" priority="178">
      <formula>J32="禁用語"</formula>
    </cfRule>
    <cfRule type="expression" dxfId="50" priority="177">
      <formula>J32="超過"</formula>
    </cfRule>
    <cfRule type="expression" dxfId="49" priority="179">
      <formula>J32="記得加副檔名"</formula>
    </cfRule>
  </conditionalFormatting>
  <conditionalFormatting sqref="J40:J42">
    <cfRule type="expression" dxfId="48" priority="216">
      <formula>J40="記得加副檔名"</formula>
    </cfRule>
    <cfRule type="expression" dxfId="47" priority="215">
      <formula>J40="禁用語"</formula>
    </cfRule>
    <cfRule type="expression" dxfId="46" priority="217">
      <formula>J40="OK"</formula>
    </cfRule>
    <cfRule type="expression" dxfId="45" priority="214">
      <formula>J40="超過"</formula>
    </cfRule>
  </conditionalFormatting>
  <conditionalFormatting sqref="J48:J49">
    <cfRule type="expression" dxfId="44" priority="246">
      <formula>AND(NOT(OR(J48="",J48="(輸入許願的Icon，例：房子)")),NOT(OR(J49="",J49="(輸入圖檔名，例：三星.png)")))</formula>
    </cfRule>
  </conditionalFormatting>
  <conditionalFormatting sqref="L4:L9">
    <cfRule type="expression" dxfId="43" priority="33">
      <formula>L4="OK"</formula>
    </cfRule>
    <cfRule type="expression" dxfId="42" priority="32">
      <formula>L4="記得加副檔名"</formula>
    </cfRule>
    <cfRule type="expression" dxfId="41" priority="31">
      <formula>L4="禁用語"</formula>
    </cfRule>
    <cfRule type="expression" dxfId="40" priority="30">
      <formula>L4="超過"</formula>
    </cfRule>
  </conditionalFormatting>
  <conditionalFormatting sqref="L14:L16">
    <cfRule type="expression" dxfId="39" priority="94">
      <formula>LENB(L14)/2&gt;5</formula>
    </cfRule>
  </conditionalFormatting>
  <conditionalFormatting sqref="L24:L25">
    <cfRule type="expression" dxfId="38" priority="137">
      <formula>LENB(L24)/2&gt;6</formula>
    </cfRule>
  </conditionalFormatting>
  <conditionalFormatting sqref="L41">
    <cfRule type="expression" dxfId="37" priority="232">
      <formula>LENB(L41)/2&gt;7</formula>
    </cfRule>
  </conditionalFormatting>
  <conditionalFormatting sqref="L42">
    <cfRule type="expression" dxfId="36" priority="237">
      <formula>LENB(L42)/2&gt;8</formula>
    </cfRule>
  </conditionalFormatting>
  <conditionalFormatting sqref="L50">
    <cfRule type="expression" dxfId="35" priority="248">
      <formula>L50&gt;5</formula>
    </cfRule>
    <cfRule type="expression" dxfId="34" priority="249">
      <formula>AND(ISNUMBER(L50),L50&lt;=5)</formula>
    </cfRule>
  </conditionalFormatting>
  <conditionalFormatting sqref="M50">
    <cfRule type="expression" dxfId="33" priority="251">
      <formula>AND(NOT(OR(M50="",M50="(需要再填即可)")),LENB(M50)/2&gt;5)</formula>
    </cfRule>
  </conditionalFormatting>
  <conditionalFormatting sqref="N4">
    <cfRule type="expression" dxfId="32" priority="57">
      <formula>LENB(N4)/2&gt;8</formula>
    </cfRule>
  </conditionalFormatting>
  <conditionalFormatting sqref="N6">
    <cfRule type="expression" dxfId="31" priority="66">
      <formula>LENB(N6)/2&gt;3</formula>
    </cfRule>
  </conditionalFormatting>
  <conditionalFormatting sqref="N40:N42">
    <cfRule type="expression" dxfId="30" priority="231">
      <formula>N40="OK"</formula>
    </cfRule>
    <cfRule type="expression" dxfId="29" priority="230">
      <formula>N40="記得加副檔名"</formula>
    </cfRule>
    <cfRule type="expression" dxfId="28" priority="228">
      <formula>N40="超過"</formula>
    </cfRule>
    <cfRule type="expression" dxfId="27" priority="229">
      <formula>N40="禁用語"</formula>
    </cfRule>
  </conditionalFormatting>
  <conditionalFormatting sqref="O48:O49">
    <cfRule type="expression" dxfId="26" priority="250">
      <formula>AND(NOT(OR(O48="",O48="(需要再填即可)")),NOT(OR(O49="",O49="(需要再填即可)")))</formula>
    </cfRule>
  </conditionalFormatting>
  <conditionalFormatting sqref="Q50">
    <cfRule type="expression" dxfId="25" priority="253">
      <formula>AND(ISNUMBER(Q50),Q50&lt;=5)</formula>
    </cfRule>
    <cfRule type="expression" dxfId="24" priority="252">
      <formula>Q50&gt;5</formula>
    </cfRule>
  </conditionalFormatting>
  <conditionalFormatting sqref="R4:R6">
    <cfRule type="expression" dxfId="23" priority="58">
      <formula>R4="超過"</formula>
    </cfRule>
    <cfRule type="expression" dxfId="22" priority="59">
      <formula>R4="禁用語"</formula>
    </cfRule>
    <cfRule type="expression" dxfId="21" priority="60">
      <formula>R4="記得加副檔名"</formula>
    </cfRule>
    <cfRule type="expression" dxfId="20" priority="61">
      <formula>R4="OK"</formula>
    </cfRule>
  </conditionalFormatting>
  <conditionalFormatting sqref="R12:R18">
    <cfRule type="expression" dxfId="19" priority="77">
      <formula>R12="禁用語"</formula>
    </cfRule>
    <cfRule type="expression" dxfId="18" priority="78">
      <formula>R12="記得加副檔名"</formula>
    </cfRule>
    <cfRule type="expression" dxfId="17" priority="79">
      <formula>R12="OK"</formula>
    </cfRule>
    <cfRule type="expression" dxfId="16" priority="76">
      <formula>R12="超過"</formula>
    </cfRule>
  </conditionalFormatting>
  <conditionalFormatting sqref="R21:R22">
    <cfRule type="expression" dxfId="15" priority="126">
      <formula>R21="OK"</formula>
    </cfRule>
    <cfRule type="expression" dxfId="14" priority="125">
      <formula>R21="記得加副檔名"</formula>
    </cfRule>
    <cfRule type="expression" dxfId="13" priority="124">
      <formula>R21="禁用語"</formula>
    </cfRule>
    <cfRule type="expression" dxfId="12" priority="123">
      <formula>R21="超過"</formula>
    </cfRule>
  </conditionalFormatting>
  <conditionalFormatting sqref="R24:R25">
    <cfRule type="expression" dxfId="11" priority="138">
      <formula>R24="超過"</formula>
    </cfRule>
    <cfRule type="expression" dxfId="10" priority="139">
      <formula>R24="禁用語"</formula>
    </cfRule>
    <cfRule type="expression" dxfId="9" priority="140">
      <formula>R24="記得加副檔名"</formula>
    </cfRule>
    <cfRule type="expression" dxfId="8" priority="141">
      <formula>R24="OK"</formula>
    </cfRule>
  </conditionalFormatting>
  <conditionalFormatting sqref="R50">
    <cfRule type="expression" dxfId="7" priority="255">
      <formula>AND(NOT(OR(R50="",R50="(需要再填即可)")),LENB(R50)/2&gt;5)</formula>
    </cfRule>
  </conditionalFormatting>
  <conditionalFormatting sqref="T48:T49">
    <cfRule type="expression" dxfId="6" priority="254">
      <formula>AND(NOT(OR(T48="",T48="(需要再填即可)")),NOT(OR(T49="",T49="(需要再填即可)")))</formula>
    </cfRule>
  </conditionalFormatting>
  <conditionalFormatting sqref="Y50">
    <cfRule type="expression" dxfId="5" priority="257">
      <formula>AND(ISNUMBER(Y50),Y50&lt;=5)</formula>
    </cfRule>
    <cfRule type="expression" dxfId="4" priority="256">
      <formula>Y50&gt;5</formula>
    </cfRule>
  </conditionalFormatting>
  <conditionalFormatting sqref="Z50">
    <cfRule type="expression" dxfId="3" priority="259">
      <formula>AND(NOT(OR(Z50="",Z50="(需要再填即可)")),LENB(Z50)/2&gt;5)</formula>
    </cfRule>
  </conditionalFormatting>
  <conditionalFormatting sqref="AB48:AB49">
    <cfRule type="expression" dxfId="2" priority="258">
      <formula>AND(NOT(OR(AB48="",AB48="(需要再填即可)")),NOT(OR(AB49="",AB49="(需要再填即可)")))</formula>
    </cfRule>
  </conditionalFormatting>
  <conditionalFormatting sqref="AG50">
    <cfRule type="expression" dxfId="1" priority="261">
      <formula>AND(ISNUMBER(AG50),AG50&lt;=5)</formula>
    </cfRule>
    <cfRule type="expression" dxfId="0" priority="260">
      <formula>AG50&gt;5</formula>
    </cfRule>
  </conditionalFormatting>
  <dataValidations count="12">
    <dataValidation type="custom" allowBlank="1" showInputMessage="1" showErrorMessage="1" errorTitle="Icon／Logo 請二選一" error="同一顆只能填 Icon 或 Logo；請先清空另一格。" promptTitle="Icon／Logo 二選一" prompt="Icon 填素材名稱；Logo 填圖檔名。" sqref="AB48:AB49 T48:T49 O48:O49" xr:uid="{00000000-0002-0000-0100-000000000000}">
      <formula1>OR(OR(O48="",O48="(需要再填即可)"),OR(O49="",O49="(需要再填即可)"))</formula1>
    </dataValidation>
    <dataValidation type="custom" allowBlank="1" showInputMessage="1" showErrorMessage="1" errorTitle="超過吸底文案字數" error="最多 5 個字；中文算 1，英數與半形符號算 0.5。" promptTitle="吸底文案：最多 5 字" prompt="中文算 1，英數與半形符號算 0.5。" sqref="C50 H50" xr:uid="{00000000-0002-0000-0100-000001000000}">
      <formula1>OR(OR(C50="",C50="文案5字內"),LENB(C50)/2&lt;=5)</formula1>
    </dataValidation>
    <dataValidation type="custom" allowBlank="1" showInputMessage="1" showErrorMessage="1" errorTitle="超過字數上限" error="最多 7 個字；中文算 1，英數與半形符號算 0.5。" promptTitle="字數限制：7" prompt="中文算 1，英數與半形符號算 0.5。" sqref="D12 L41 H41 D41 D21" xr:uid="{00000000-0002-0000-0100-000002000000}">
      <formula1>LENB(D12)/2&lt;=7</formula1>
    </dataValidation>
    <dataValidation type="custom" allowBlank="1" showInputMessage="1" showErrorMessage="1" errorTitle="超過字數上限" error="最多 8 個字；中文算 1，英數與半形符號算 0.5。" promptTitle="字數限制：8" prompt="中文算 1，英數與半形符號算 0.5。" sqref="N4 L42 I4 H42 H34:H35 D7 D42 D4 D34:D35 D13:D14" xr:uid="{00000000-0002-0000-0100-000003000000}">
      <formula1>LENB(D4)/2&lt;=8</formula1>
    </dataValidation>
    <dataValidation type="custom" allowBlank="1" showInputMessage="1" showErrorMessage="1" errorTitle="超過字數上限" error="最多 9 個字；中文算 1，英數與半形符號算 0.5。" promptTitle="字數限制：9" prompt="中文算 1，英數與半形符號算 0.5。" sqref="D15" xr:uid="{00000000-0002-0000-0100-000005000000}">
      <formula1>LENB(D15)/2&lt;=9</formula1>
    </dataValidation>
    <dataValidation type="custom" allowBlank="1" showInputMessage="1" showErrorMessage="1" errorTitle="超過字數上限" error="最多 10 個字；中文算 1，英數與半形符號算 0.5。" promptTitle="字數限制：10" prompt="中文算 1，英數與半形符號算 0.5。" sqref="D22 D8" xr:uid="{00000000-0002-0000-0100-000007000000}">
      <formula1>LENB(D8)/2&lt;=10</formula1>
    </dataValidation>
    <dataValidation type="custom" allowBlank="1" showInputMessage="1" showErrorMessage="1" errorTitle="超過字數上限" error="最多 6 個字；中文算 1，英數與半形符號算 0.5。" promptTitle="字數限制：6" prompt="中文算 1，英數與半形符號算 0.5。" sqref="L24:L25 H32 D32 D24:D25" xr:uid="{00000000-0002-0000-0100-000008000000}">
      <formula1>LENB(D24)/2&lt;=6</formula1>
    </dataValidation>
    <dataValidation type="custom" allowBlank="1" showInputMessage="1" showErrorMessage="1" errorTitle="超過字數上限" error="最多 5 個字；中文算 1，英數與半形符號算 0.5。" promptTitle="字數限制：5" prompt="中文算 1，英數與半形符號算 0.5。" sqref="D36 L14:L16 I8 H36 D9" xr:uid="{00000000-0002-0000-0100-00000D000000}">
      <formula1>LENB(D8)/2&lt;=5</formula1>
    </dataValidation>
    <dataValidation type="custom" allowBlank="1" showInputMessage="1" showErrorMessage="1" errorTitle="Icon／Logo 請二選一" error="同一顆只能填 Icon 或 Logo；請先清空另一格。" promptTitle="Icon／Logo 二選一" prompt="Icon 填素材名稱；Logo 填圖檔名。" sqref="E48:E49 J48:J49" xr:uid="{00000000-0002-0000-0100-000014000000}">
      <formula1>OR(OR(E48="",E48="(輸入許願的Icon，例：房子)"),OR(E49="",E49="(輸入圖檔名，例：三星.png)"))</formula1>
    </dataValidation>
    <dataValidation type="custom" allowBlank="1" showInputMessage="1" showErrorMessage="1" errorTitle="超過字數上限" error="最多 4 個字；中文算 1，英數與半形符號算 0.5。" promptTitle="字數限制：4" prompt="中文算 1，英數與半形符號算 0.5。" sqref="I7" xr:uid="{00000000-0002-0000-0100-00001D000000}">
      <formula1>LENB(I7)/2&lt;=4</formula1>
    </dataValidation>
    <dataValidation type="custom" allowBlank="1" showInputMessage="1" showErrorMessage="1" errorTitle="超過字數上限" error="最多 3 個字；中文算 1，英數與半形符號算 0.5。" promptTitle="字數限制：3" prompt="中文算 1，英數與半形符號算 0.5。" sqref="I9 N6" xr:uid="{00000000-0002-0000-0100-00001F000000}">
      <formula1>LENB(I6)/2&lt;=3</formula1>
    </dataValidation>
    <dataValidation type="custom" allowBlank="1" showInputMessage="1" showErrorMessage="1" errorTitle="超過吸底文案字數" error="最多 5 個字；中文算 1，英數與半形符號算 0.5。" promptTitle="吸底文案：最多 5 字" prompt="中文算 1，英數與半形符號算 0.5。" sqref="M50 Z50 R50" xr:uid="{00000000-0002-0000-0100-000028000000}">
      <formula1>OR(OR(M50="",M50="(需要再填即可)"),LENB(M50)/2&lt;=5)</formula1>
    </dataValidation>
  </dataValidations>
  <pageMargins left="0.25" right="0.25" top="0.4" bottom="0.4" header="0.2" footer="0.2"/>
  <pageSetup paperSize="9" fitToHeight="0" orientation="landscape"/>
  <headerFooter>
    <oddFooter>&amp;L BODA 工單&amp;C MS Layout&amp;R 第 &amp;P / &amp;N 頁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3"/>
  <sheetViews>
    <sheetView workbookViewId="0"/>
  </sheetViews>
  <sheetFormatPr defaultRowHeight="15.75" x14ac:dyDescent="0.25"/>
  <sheetData>
    <row r="1" spans="1:36" x14ac:dyDescent="0.2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143</v>
      </c>
      <c r="Y1" t="s">
        <v>144</v>
      </c>
      <c r="Z1" t="s">
        <v>145</v>
      </c>
      <c r="AB1" t="s">
        <v>146</v>
      </c>
      <c r="AC1" t="s">
        <v>147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148</v>
      </c>
    </row>
    <row r="2" spans="1:36" x14ac:dyDescent="0.25">
      <c r="A2" t="s">
        <v>149</v>
      </c>
      <c r="B2">
        <v>8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B2" t="s">
        <v>150</v>
      </c>
      <c r="AC2" t="s">
        <v>151</v>
      </c>
      <c r="AD2">
        <v>1</v>
      </c>
      <c r="AE2" t="s">
        <v>152</v>
      </c>
      <c r="AF2" t="s">
        <v>153</v>
      </c>
      <c r="AG2" t="s">
        <v>154</v>
      </c>
      <c r="AH2" t="s">
        <v>155</v>
      </c>
      <c r="AI2" t="s">
        <v>156</v>
      </c>
      <c r="AJ2" t="s">
        <v>157</v>
      </c>
    </row>
    <row r="3" spans="1:36" x14ac:dyDescent="0.25">
      <c r="A3" t="s">
        <v>2</v>
      </c>
      <c r="B3">
        <v>4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  <c r="Q3" t="s">
        <v>6</v>
      </c>
      <c r="R3" t="s">
        <v>6</v>
      </c>
      <c r="S3" t="s">
        <v>6</v>
      </c>
      <c r="T3" t="s">
        <v>6</v>
      </c>
      <c r="U3" t="s">
        <v>6</v>
      </c>
      <c r="V3" t="s">
        <v>6</v>
      </c>
      <c r="W3" t="s">
        <v>6</v>
      </c>
      <c r="X3" t="s">
        <v>6</v>
      </c>
      <c r="Y3" t="s">
        <v>6</v>
      </c>
      <c r="Z3" t="s">
        <v>6</v>
      </c>
      <c r="AB3" t="s">
        <v>158</v>
      </c>
      <c r="AC3" t="s">
        <v>159</v>
      </c>
      <c r="AD3">
        <v>1</v>
      </c>
      <c r="AE3" t="s">
        <v>160</v>
      </c>
      <c r="AF3" t="s">
        <v>153</v>
      </c>
      <c r="AG3" t="s">
        <v>154</v>
      </c>
      <c r="AH3" t="s">
        <v>161</v>
      </c>
      <c r="AI3" t="s">
        <v>162</v>
      </c>
      <c r="AJ3" t="s">
        <v>157</v>
      </c>
    </row>
    <row r="4" spans="1:36" x14ac:dyDescent="0.25">
      <c r="A4" t="s">
        <v>163</v>
      </c>
      <c r="B4">
        <v>4</v>
      </c>
      <c r="C4" t="s">
        <v>6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t="s">
        <v>6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6</v>
      </c>
      <c r="Y4" t="s">
        <v>6</v>
      </c>
      <c r="Z4" t="s">
        <v>6</v>
      </c>
      <c r="AB4" t="s">
        <v>164</v>
      </c>
      <c r="AC4" t="s">
        <v>164</v>
      </c>
      <c r="AD4">
        <v>1</v>
      </c>
      <c r="AE4" t="s">
        <v>165</v>
      </c>
      <c r="AF4" t="s">
        <v>166</v>
      </c>
      <c r="AG4" t="s">
        <v>167</v>
      </c>
      <c r="AH4" t="s">
        <v>168</v>
      </c>
      <c r="AI4" t="s">
        <v>169</v>
      </c>
      <c r="AJ4" t="s">
        <v>170</v>
      </c>
    </row>
    <row r="5" spans="1:36" x14ac:dyDescent="0.25">
      <c r="A5" t="s">
        <v>171</v>
      </c>
      <c r="B5">
        <v>6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6</v>
      </c>
      <c r="W5" t="s">
        <v>6</v>
      </c>
      <c r="X5" t="s">
        <v>6</v>
      </c>
      <c r="Y5" t="s">
        <v>6</v>
      </c>
      <c r="Z5" t="s">
        <v>6</v>
      </c>
      <c r="AB5" t="s">
        <v>172</v>
      </c>
      <c r="AC5" t="s">
        <v>173</v>
      </c>
      <c r="AD5">
        <v>1</v>
      </c>
      <c r="AE5" t="s">
        <v>165</v>
      </c>
      <c r="AF5" t="s">
        <v>166</v>
      </c>
      <c r="AG5" t="s">
        <v>174</v>
      </c>
      <c r="AH5" t="s">
        <v>168</v>
      </c>
      <c r="AI5" t="s">
        <v>169</v>
      </c>
      <c r="AJ5" t="s">
        <v>170</v>
      </c>
    </row>
    <row r="6" spans="1:36" x14ac:dyDescent="0.25">
      <c r="A6" t="s">
        <v>175</v>
      </c>
      <c r="B6">
        <v>0</v>
      </c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 t="s">
        <v>6</v>
      </c>
      <c r="W6" t="s">
        <v>6</v>
      </c>
      <c r="X6" t="s">
        <v>6</v>
      </c>
      <c r="Y6" t="s">
        <v>6</v>
      </c>
      <c r="Z6" t="s">
        <v>6</v>
      </c>
      <c r="AB6" t="s">
        <v>176</v>
      </c>
      <c r="AC6" t="s">
        <v>176</v>
      </c>
      <c r="AD6">
        <v>1</v>
      </c>
      <c r="AE6" t="s">
        <v>177</v>
      </c>
      <c r="AF6" t="s">
        <v>166</v>
      </c>
      <c r="AG6" t="s">
        <v>178</v>
      </c>
      <c r="AH6" t="s">
        <v>168</v>
      </c>
      <c r="AI6" t="s">
        <v>169</v>
      </c>
      <c r="AJ6" t="s">
        <v>170</v>
      </c>
    </row>
    <row r="7" spans="1:36" x14ac:dyDescent="0.25">
      <c r="A7" t="s">
        <v>179</v>
      </c>
      <c r="B7">
        <v>6</v>
      </c>
      <c r="C7" t="s">
        <v>150</v>
      </c>
      <c r="D7" t="s">
        <v>158</v>
      </c>
      <c r="E7" t="s">
        <v>164</v>
      </c>
      <c r="F7" t="s">
        <v>172</v>
      </c>
      <c r="G7" t="s">
        <v>176</v>
      </c>
      <c r="H7" t="s">
        <v>180</v>
      </c>
      <c r="I7" t="s">
        <v>181</v>
      </c>
      <c r="J7" t="s">
        <v>182</v>
      </c>
      <c r="K7" t="s">
        <v>183</v>
      </c>
      <c r="L7" t="s">
        <v>184</v>
      </c>
      <c r="M7" t="s">
        <v>185</v>
      </c>
      <c r="N7" t="s">
        <v>6</v>
      </c>
      <c r="O7" t="s">
        <v>186</v>
      </c>
      <c r="P7" t="s">
        <v>186</v>
      </c>
      <c r="Q7" t="s">
        <v>186</v>
      </c>
      <c r="R7" t="s">
        <v>186</v>
      </c>
      <c r="S7" t="s">
        <v>186</v>
      </c>
      <c r="T7" t="s">
        <v>186</v>
      </c>
      <c r="U7" t="s">
        <v>186</v>
      </c>
      <c r="V7" t="s">
        <v>187</v>
      </c>
      <c r="W7" t="s">
        <v>187</v>
      </c>
      <c r="X7" t="s">
        <v>187</v>
      </c>
      <c r="Y7" t="s">
        <v>187</v>
      </c>
      <c r="Z7" t="s">
        <v>6</v>
      </c>
      <c r="AB7" t="s">
        <v>180</v>
      </c>
      <c r="AC7" t="s">
        <v>188</v>
      </c>
      <c r="AD7">
        <v>1</v>
      </c>
      <c r="AE7" t="s">
        <v>189</v>
      </c>
      <c r="AF7" t="s">
        <v>153</v>
      </c>
      <c r="AG7" t="s">
        <v>154</v>
      </c>
      <c r="AH7" t="s">
        <v>190</v>
      </c>
      <c r="AI7" t="s">
        <v>191</v>
      </c>
      <c r="AJ7" t="s">
        <v>157</v>
      </c>
    </row>
    <row r="8" spans="1:36" x14ac:dyDescent="0.25">
      <c r="A8" t="s">
        <v>192</v>
      </c>
      <c r="B8">
        <v>0</v>
      </c>
      <c r="C8" t="s">
        <v>150</v>
      </c>
      <c r="D8" t="s">
        <v>158</v>
      </c>
      <c r="E8" t="s">
        <v>164</v>
      </c>
      <c r="F8" t="s">
        <v>172</v>
      </c>
      <c r="G8" t="s">
        <v>176</v>
      </c>
      <c r="H8" t="s">
        <v>180</v>
      </c>
      <c r="I8" t="s">
        <v>181</v>
      </c>
      <c r="J8" t="s">
        <v>182</v>
      </c>
      <c r="K8" t="s">
        <v>183</v>
      </c>
      <c r="L8" t="s">
        <v>184</v>
      </c>
      <c r="M8" t="s">
        <v>185</v>
      </c>
      <c r="N8" t="s">
        <v>6</v>
      </c>
      <c r="O8" t="s">
        <v>186</v>
      </c>
      <c r="P8" t="s">
        <v>186</v>
      </c>
      <c r="Q8" t="s">
        <v>186</v>
      </c>
      <c r="R8" t="s">
        <v>186</v>
      </c>
      <c r="S8" t="s">
        <v>186</v>
      </c>
      <c r="T8" t="s">
        <v>186</v>
      </c>
      <c r="U8" t="s">
        <v>186</v>
      </c>
      <c r="V8" t="s">
        <v>187</v>
      </c>
      <c r="W8" t="s">
        <v>187</v>
      </c>
      <c r="X8" t="s">
        <v>187</v>
      </c>
      <c r="Y8" t="s">
        <v>187</v>
      </c>
      <c r="Z8" t="s">
        <v>6</v>
      </c>
      <c r="AB8" t="s">
        <v>181</v>
      </c>
      <c r="AC8" t="s">
        <v>181</v>
      </c>
      <c r="AD8">
        <v>1</v>
      </c>
      <c r="AE8" t="s">
        <v>193</v>
      </c>
      <c r="AF8" t="s">
        <v>153</v>
      </c>
      <c r="AG8" t="s">
        <v>194</v>
      </c>
      <c r="AH8" t="s">
        <v>168</v>
      </c>
      <c r="AI8" t="s">
        <v>169</v>
      </c>
      <c r="AJ8" t="s">
        <v>170</v>
      </c>
    </row>
    <row r="9" spans="1:36" x14ac:dyDescent="0.25">
      <c r="A9" t="s">
        <v>195</v>
      </c>
      <c r="B9">
        <v>6</v>
      </c>
      <c r="C9" t="s">
        <v>150</v>
      </c>
      <c r="D9" t="s">
        <v>158</v>
      </c>
      <c r="E9" t="s">
        <v>164</v>
      </c>
      <c r="F9" t="s">
        <v>172</v>
      </c>
      <c r="G9" t="s">
        <v>176</v>
      </c>
      <c r="H9" t="s">
        <v>180</v>
      </c>
      <c r="I9" t="s">
        <v>181</v>
      </c>
      <c r="J9" t="s">
        <v>182</v>
      </c>
      <c r="K9" t="s">
        <v>183</v>
      </c>
      <c r="L9" t="s">
        <v>6</v>
      </c>
      <c r="M9" t="s">
        <v>6</v>
      </c>
      <c r="N9" t="s">
        <v>6</v>
      </c>
      <c r="O9" t="s">
        <v>186</v>
      </c>
      <c r="P9" t="s">
        <v>186</v>
      </c>
      <c r="Q9" t="s">
        <v>186</v>
      </c>
      <c r="R9" t="s">
        <v>186</v>
      </c>
      <c r="S9" t="s">
        <v>186</v>
      </c>
      <c r="T9" t="s">
        <v>187</v>
      </c>
      <c r="U9" t="s">
        <v>187</v>
      </c>
      <c r="V9" t="s">
        <v>187</v>
      </c>
      <c r="W9" t="s">
        <v>187</v>
      </c>
      <c r="X9" t="s">
        <v>6</v>
      </c>
      <c r="Y9" t="s">
        <v>6</v>
      </c>
      <c r="Z9" t="s">
        <v>6</v>
      </c>
      <c r="AB9" t="s">
        <v>182</v>
      </c>
      <c r="AC9" t="s">
        <v>196</v>
      </c>
      <c r="AD9">
        <v>1</v>
      </c>
      <c r="AE9" t="s">
        <v>197</v>
      </c>
      <c r="AF9" t="s">
        <v>153</v>
      </c>
      <c r="AG9" t="s">
        <v>154</v>
      </c>
      <c r="AH9" t="s">
        <v>190</v>
      </c>
      <c r="AI9" t="s">
        <v>198</v>
      </c>
      <c r="AJ9" t="s">
        <v>157</v>
      </c>
    </row>
    <row r="10" spans="1:36" x14ac:dyDescent="0.25">
      <c r="A10" t="s">
        <v>199</v>
      </c>
      <c r="B10">
        <v>6</v>
      </c>
      <c r="C10" t="s">
        <v>150</v>
      </c>
      <c r="D10" t="s">
        <v>158</v>
      </c>
      <c r="E10" t="s">
        <v>164</v>
      </c>
      <c r="F10" t="s">
        <v>172</v>
      </c>
      <c r="G10" t="s">
        <v>176</v>
      </c>
      <c r="H10" t="s">
        <v>180</v>
      </c>
      <c r="I10" t="s">
        <v>181</v>
      </c>
      <c r="J10" t="s">
        <v>182</v>
      </c>
      <c r="K10" t="s">
        <v>183</v>
      </c>
      <c r="L10" t="s">
        <v>6</v>
      </c>
      <c r="M10" t="s">
        <v>6</v>
      </c>
      <c r="N10" t="s">
        <v>6</v>
      </c>
      <c r="O10" t="s">
        <v>186</v>
      </c>
      <c r="P10" t="s">
        <v>186</v>
      </c>
      <c r="Q10" t="s">
        <v>186</v>
      </c>
      <c r="R10" t="s">
        <v>186</v>
      </c>
      <c r="S10" t="s">
        <v>186</v>
      </c>
      <c r="T10" t="s">
        <v>187</v>
      </c>
      <c r="U10" t="s">
        <v>187</v>
      </c>
      <c r="V10" t="s">
        <v>187</v>
      </c>
      <c r="W10" t="s">
        <v>187</v>
      </c>
      <c r="X10" t="s">
        <v>6</v>
      </c>
      <c r="Y10" t="s">
        <v>6</v>
      </c>
      <c r="Z10" t="s">
        <v>6</v>
      </c>
      <c r="AB10" t="s">
        <v>183</v>
      </c>
      <c r="AC10" t="s">
        <v>183</v>
      </c>
      <c r="AD10">
        <v>1</v>
      </c>
      <c r="AE10" t="s">
        <v>200</v>
      </c>
      <c r="AF10" t="s">
        <v>153</v>
      </c>
      <c r="AG10" t="s">
        <v>154</v>
      </c>
      <c r="AH10" t="s">
        <v>190</v>
      </c>
      <c r="AI10" t="s">
        <v>201</v>
      </c>
      <c r="AJ10" t="s">
        <v>157</v>
      </c>
    </row>
    <row r="11" spans="1:36" x14ac:dyDescent="0.25">
      <c r="A11" t="s">
        <v>202</v>
      </c>
      <c r="B11">
        <v>3</v>
      </c>
      <c r="C11" t="s">
        <v>183</v>
      </c>
      <c r="D11" t="s">
        <v>158</v>
      </c>
      <c r="E11" t="s">
        <v>150</v>
      </c>
      <c r="F11" t="s">
        <v>182</v>
      </c>
      <c r="G11" t="s">
        <v>180</v>
      </c>
      <c r="H11" t="s">
        <v>203</v>
      </c>
      <c r="I11" t="s">
        <v>185</v>
      </c>
      <c r="J11" t="s">
        <v>184</v>
      </c>
      <c r="K11" t="s">
        <v>6</v>
      </c>
      <c r="L11" t="s">
        <v>6</v>
      </c>
      <c r="M11" t="s">
        <v>6</v>
      </c>
      <c r="N11" t="s">
        <v>6</v>
      </c>
      <c r="O11" t="s">
        <v>186</v>
      </c>
      <c r="P11" t="s">
        <v>186</v>
      </c>
      <c r="Q11" t="s">
        <v>186</v>
      </c>
      <c r="R11" t="s">
        <v>186</v>
      </c>
      <c r="S11" t="s">
        <v>186</v>
      </c>
      <c r="T11" t="s">
        <v>186</v>
      </c>
      <c r="U11" t="s">
        <v>186</v>
      </c>
      <c r="V11" t="s">
        <v>186</v>
      </c>
      <c r="W11" t="s">
        <v>6</v>
      </c>
      <c r="X11" t="s">
        <v>6</v>
      </c>
      <c r="Y11" t="s">
        <v>6</v>
      </c>
      <c r="Z11" t="s">
        <v>6</v>
      </c>
      <c r="AB11" t="s">
        <v>184</v>
      </c>
      <c r="AC11" t="s">
        <v>204</v>
      </c>
      <c r="AD11">
        <v>1</v>
      </c>
      <c r="AE11" t="s">
        <v>205</v>
      </c>
      <c r="AF11" t="s">
        <v>206</v>
      </c>
      <c r="AG11" t="s">
        <v>207</v>
      </c>
      <c r="AH11" t="s">
        <v>208</v>
      </c>
      <c r="AI11" t="s">
        <v>209</v>
      </c>
      <c r="AJ11" t="s">
        <v>157</v>
      </c>
    </row>
    <row r="12" spans="1:36" x14ac:dyDescent="0.25">
      <c r="A12" t="s">
        <v>210</v>
      </c>
      <c r="B12">
        <v>3</v>
      </c>
      <c r="C12" t="s">
        <v>150</v>
      </c>
      <c r="D12" t="s">
        <v>158</v>
      </c>
      <c r="E12" t="s">
        <v>164</v>
      </c>
      <c r="F12" t="s">
        <v>176</v>
      </c>
      <c r="G12" t="s">
        <v>182</v>
      </c>
      <c r="H12" t="s">
        <v>6</v>
      </c>
      <c r="I12" t="s">
        <v>6</v>
      </c>
      <c r="J12" t="s">
        <v>6</v>
      </c>
      <c r="K12" t="s">
        <v>6</v>
      </c>
      <c r="L12" t="s">
        <v>6</v>
      </c>
      <c r="M12" t="s">
        <v>6</v>
      </c>
      <c r="N12" t="s">
        <v>6</v>
      </c>
      <c r="O12" t="s">
        <v>186</v>
      </c>
      <c r="P12" t="s">
        <v>186</v>
      </c>
      <c r="Q12" t="s">
        <v>186</v>
      </c>
      <c r="R12" t="s">
        <v>186</v>
      </c>
      <c r="S12" t="s">
        <v>187</v>
      </c>
      <c r="T12" t="s">
        <v>6</v>
      </c>
      <c r="U12" t="s">
        <v>6</v>
      </c>
      <c r="V12" t="s">
        <v>6</v>
      </c>
      <c r="W12" t="s">
        <v>6</v>
      </c>
      <c r="X12" t="s">
        <v>6</v>
      </c>
      <c r="Y12" t="s">
        <v>6</v>
      </c>
      <c r="Z12" t="s">
        <v>6</v>
      </c>
      <c r="AB12" t="s">
        <v>185</v>
      </c>
      <c r="AC12" t="s">
        <v>211</v>
      </c>
      <c r="AD12">
        <v>1</v>
      </c>
      <c r="AE12" t="s">
        <v>212</v>
      </c>
      <c r="AF12" t="s">
        <v>166</v>
      </c>
      <c r="AG12" t="s">
        <v>213</v>
      </c>
      <c r="AH12" t="s">
        <v>214</v>
      </c>
      <c r="AI12" t="s">
        <v>215</v>
      </c>
      <c r="AJ12" t="s">
        <v>157</v>
      </c>
    </row>
    <row r="13" spans="1:36" x14ac:dyDescent="0.25">
      <c r="AB13" t="s">
        <v>203</v>
      </c>
      <c r="AC13" t="s">
        <v>216</v>
      </c>
      <c r="AD13">
        <v>1</v>
      </c>
      <c r="AE13" t="s">
        <v>217</v>
      </c>
      <c r="AF13" t="s">
        <v>153</v>
      </c>
      <c r="AG13" t="s">
        <v>218</v>
      </c>
      <c r="AH13" t="s">
        <v>219</v>
      </c>
      <c r="AI13" t="s">
        <v>220</v>
      </c>
      <c r="AJ13" t="s">
        <v>157</v>
      </c>
    </row>
  </sheetData>
  <phoneticPr fontId="19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3"/>
  <sheetViews>
    <sheetView workbookViewId="0"/>
  </sheetViews>
  <sheetFormatPr defaultRowHeight="15.75" x14ac:dyDescent="0.25"/>
  <sheetData>
    <row r="1" spans="1:16" x14ac:dyDescent="0.25">
      <c r="A1" t="s">
        <v>221</v>
      </c>
    </row>
    <row r="2" spans="1:16" x14ac:dyDescent="0.25">
      <c r="A2" t="s">
        <v>222</v>
      </c>
      <c r="B2" t="s">
        <v>223</v>
      </c>
      <c r="C2" t="s">
        <v>224</v>
      </c>
      <c r="D2" t="s">
        <v>225</v>
      </c>
      <c r="E2" t="s">
        <v>226</v>
      </c>
      <c r="F2" t="s">
        <v>227</v>
      </c>
      <c r="G2" t="s">
        <v>228</v>
      </c>
      <c r="H2" t="s">
        <v>229</v>
      </c>
      <c r="I2" t="s">
        <v>230</v>
      </c>
      <c r="J2" t="s">
        <v>231</v>
      </c>
      <c r="K2" t="s">
        <v>232</v>
      </c>
      <c r="L2" t="s">
        <v>233</v>
      </c>
      <c r="M2" t="s">
        <v>234</v>
      </c>
      <c r="N2" t="s">
        <v>235</v>
      </c>
      <c r="O2" t="s">
        <v>236</v>
      </c>
      <c r="P2" t="s">
        <v>237</v>
      </c>
    </row>
    <row r="3" spans="1:16" x14ac:dyDescent="0.25">
      <c r="A3" t="s">
        <v>238</v>
      </c>
      <c r="B3" t="s">
        <v>239</v>
      </c>
      <c r="C3">
        <v>1</v>
      </c>
      <c r="D3">
        <v>1</v>
      </c>
      <c r="E3" t="s">
        <v>240</v>
      </c>
      <c r="F3">
        <v>2</v>
      </c>
      <c r="G3">
        <v>1</v>
      </c>
      <c r="H3" t="s">
        <v>6</v>
      </c>
      <c r="I3">
        <v>1</v>
      </c>
      <c r="J3" t="s">
        <v>87</v>
      </c>
      <c r="K3" t="s">
        <v>241</v>
      </c>
      <c r="L3" t="s">
        <v>242</v>
      </c>
      <c r="M3" t="s">
        <v>243</v>
      </c>
      <c r="N3">
        <v>0</v>
      </c>
      <c r="O3" t="s">
        <v>244</v>
      </c>
      <c r="P3" t="s">
        <v>6</v>
      </c>
    </row>
    <row r="4" spans="1:16" x14ac:dyDescent="0.25">
      <c r="A4" t="s">
        <v>238</v>
      </c>
      <c r="B4" t="s">
        <v>239</v>
      </c>
      <c r="C4">
        <v>1</v>
      </c>
      <c r="D4">
        <v>1</v>
      </c>
      <c r="E4" t="s">
        <v>240</v>
      </c>
      <c r="F4">
        <v>2</v>
      </c>
      <c r="G4">
        <v>1</v>
      </c>
      <c r="H4" t="s">
        <v>6</v>
      </c>
      <c r="I4">
        <v>1</v>
      </c>
      <c r="J4" t="s">
        <v>88</v>
      </c>
      <c r="K4" t="s">
        <v>245</v>
      </c>
      <c r="L4" t="s">
        <v>242</v>
      </c>
      <c r="M4" t="s">
        <v>243</v>
      </c>
      <c r="N4">
        <v>0</v>
      </c>
      <c r="O4" t="s">
        <v>246</v>
      </c>
      <c r="P4" t="s">
        <v>6</v>
      </c>
    </row>
    <row r="5" spans="1:16" x14ac:dyDescent="0.25">
      <c r="A5" t="s">
        <v>238</v>
      </c>
      <c r="B5" t="s">
        <v>239</v>
      </c>
      <c r="C5">
        <v>1</v>
      </c>
      <c r="D5">
        <v>1</v>
      </c>
      <c r="E5" t="s">
        <v>240</v>
      </c>
      <c r="F5">
        <v>2</v>
      </c>
      <c r="G5">
        <v>1</v>
      </c>
      <c r="H5" t="s">
        <v>6</v>
      </c>
      <c r="I5">
        <v>1</v>
      </c>
      <c r="J5" t="s">
        <v>247</v>
      </c>
      <c r="K5" t="s">
        <v>248</v>
      </c>
      <c r="L5" t="s">
        <v>242</v>
      </c>
      <c r="M5" t="s">
        <v>243</v>
      </c>
      <c r="N5">
        <v>0</v>
      </c>
      <c r="O5" t="s">
        <v>246</v>
      </c>
      <c r="P5" t="s">
        <v>6</v>
      </c>
    </row>
    <row r="6" spans="1:16" x14ac:dyDescent="0.25">
      <c r="A6" t="s">
        <v>238</v>
      </c>
      <c r="B6" t="s">
        <v>239</v>
      </c>
      <c r="C6">
        <v>1</v>
      </c>
      <c r="D6">
        <v>1</v>
      </c>
      <c r="E6" t="s">
        <v>240</v>
      </c>
      <c r="F6">
        <v>2</v>
      </c>
      <c r="G6">
        <v>1</v>
      </c>
      <c r="H6" t="s">
        <v>6</v>
      </c>
      <c r="I6">
        <v>1</v>
      </c>
      <c r="J6" t="s">
        <v>91</v>
      </c>
      <c r="K6" t="s">
        <v>249</v>
      </c>
      <c r="L6" t="s">
        <v>242</v>
      </c>
      <c r="M6" t="s">
        <v>243</v>
      </c>
      <c r="N6">
        <v>0</v>
      </c>
      <c r="O6" t="s">
        <v>244</v>
      </c>
      <c r="P6" t="s">
        <v>6</v>
      </c>
    </row>
    <row r="7" spans="1:16" x14ac:dyDescent="0.25">
      <c r="A7" t="s">
        <v>238</v>
      </c>
      <c r="B7" t="s">
        <v>239</v>
      </c>
      <c r="C7">
        <v>1</v>
      </c>
      <c r="D7">
        <v>1</v>
      </c>
      <c r="E7" t="s">
        <v>240</v>
      </c>
      <c r="F7">
        <v>2</v>
      </c>
      <c r="G7">
        <v>1</v>
      </c>
      <c r="H7" t="s">
        <v>6</v>
      </c>
      <c r="I7">
        <v>1</v>
      </c>
      <c r="J7" t="s">
        <v>92</v>
      </c>
      <c r="K7" t="s">
        <v>250</v>
      </c>
      <c r="L7" t="s">
        <v>242</v>
      </c>
      <c r="M7" t="s">
        <v>243</v>
      </c>
      <c r="N7">
        <v>0</v>
      </c>
      <c r="O7" t="s">
        <v>251</v>
      </c>
      <c r="P7" t="s">
        <v>6</v>
      </c>
    </row>
    <row r="8" spans="1:16" x14ac:dyDescent="0.25">
      <c r="A8" t="s">
        <v>238</v>
      </c>
      <c r="B8" t="s">
        <v>239</v>
      </c>
      <c r="C8">
        <v>1</v>
      </c>
      <c r="D8">
        <v>1</v>
      </c>
      <c r="E8" t="s">
        <v>240</v>
      </c>
      <c r="F8">
        <v>2</v>
      </c>
      <c r="G8">
        <v>1</v>
      </c>
      <c r="H8" t="s">
        <v>6</v>
      </c>
      <c r="I8">
        <v>1</v>
      </c>
      <c r="J8" t="s">
        <v>93</v>
      </c>
      <c r="K8" t="s">
        <v>252</v>
      </c>
      <c r="L8" t="s">
        <v>242</v>
      </c>
      <c r="M8" t="s">
        <v>243</v>
      </c>
      <c r="N8">
        <v>0</v>
      </c>
      <c r="O8" t="s">
        <v>253</v>
      </c>
      <c r="P8" t="s">
        <v>6</v>
      </c>
    </row>
    <row r="9" spans="1:16" x14ac:dyDescent="0.25">
      <c r="A9" t="s">
        <v>238</v>
      </c>
      <c r="B9" t="s">
        <v>254</v>
      </c>
      <c r="C9">
        <v>1</v>
      </c>
      <c r="D9">
        <v>2</v>
      </c>
      <c r="E9" t="s">
        <v>240</v>
      </c>
      <c r="F9">
        <v>4</v>
      </c>
      <c r="G9">
        <v>1</v>
      </c>
      <c r="H9" t="s">
        <v>6</v>
      </c>
      <c r="I9">
        <v>2</v>
      </c>
      <c r="J9" t="s">
        <v>87</v>
      </c>
      <c r="K9" t="s">
        <v>255</v>
      </c>
      <c r="L9" t="s">
        <v>256</v>
      </c>
      <c r="M9" t="s">
        <v>257</v>
      </c>
      <c r="N9">
        <v>0</v>
      </c>
      <c r="O9" t="s">
        <v>244</v>
      </c>
      <c r="P9" t="s">
        <v>6</v>
      </c>
    </row>
    <row r="10" spans="1:16" x14ac:dyDescent="0.25">
      <c r="A10" t="s">
        <v>238</v>
      </c>
      <c r="B10" t="s">
        <v>254</v>
      </c>
      <c r="C10">
        <v>1</v>
      </c>
      <c r="D10">
        <v>2</v>
      </c>
      <c r="E10" t="s">
        <v>240</v>
      </c>
      <c r="F10">
        <v>4</v>
      </c>
      <c r="G10">
        <v>1</v>
      </c>
      <c r="H10" t="s">
        <v>6</v>
      </c>
      <c r="I10">
        <v>2</v>
      </c>
      <c r="J10" t="s">
        <v>88</v>
      </c>
      <c r="K10" t="s">
        <v>258</v>
      </c>
      <c r="L10" t="s">
        <v>256</v>
      </c>
      <c r="M10" t="s">
        <v>257</v>
      </c>
      <c r="N10">
        <v>0</v>
      </c>
      <c r="O10" t="s">
        <v>246</v>
      </c>
      <c r="P10" t="s">
        <v>6</v>
      </c>
    </row>
    <row r="11" spans="1:16" x14ac:dyDescent="0.25">
      <c r="A11" t="s">
        <v>238</v>
      </c>
      <c r="B11" t="s">
        <v>254</v>
      </c>
      <c r="C11">
        <v>1</v>
      </c>
      <c r="D11">
        <v>2</v>
      </c>
      <c r="E11" t="s">
        <v>240</v>
      </c>
      <c r="F11">
        <v>4</v>
      </c>
      <c r="G11">
        <v>1</v>
      </c>
      <c r="H11" t="s">
        <v>6</v>
      </c>
      <c r="I11">
        <v>2</v>
      </c>
      <c r="J11" t="s">
        <v>247</v>
      </c>
      <c r="K11" t="s">
        <v>259</v>
      </c>
      <c r="L11" t="s">
        <v>256</v>
      </c>
      <c r="M11" t="s">
        <v>257</v>
      </c>
      <c r="N11">
        <v>0</v>
      </c>
      <c r="O11" t="s">
        <v>246</v>
      </c>
      <c r="P11" t="s">
        <v>6</v>
      </c>
    </row>
    <row r="12" spans="1:16" x14ac:dyDescent="0.25">
      <c r="A12" t="s">
        <v>238</v>
      </c>
      <c r="B12" t="s">
        <v>254</v>
      </c>
      <c r="C12">
        <v>1</v>
      </c>
      <c r="D12">
        <v>2</v>
      </c>
      <c r="E12" t="s">
        <v>240</v>
      </c>
      <c r="F12">
        <v>4</v>
      </c>
      <c r="G12">
        <v>1</v>
      </c>
      <c r="H12" t="s">
        <v>6</v>
      </c>
      <c r="I12">
        <v>2</v>
      </c>
      <c r="J12" t="s">
        <v>91</v>
      </c>
      <c r="K12" t="s">
        <v>260</v>
      </c>
      <c r="L12" t="s">
        <v>256</v>
      </c>
      <c r="M12" t="s">
        <v>257</v>
      </c>
      <c r="N12">
        <v>0</v>
      </c>
      <c r="O12" t="s">
        <v>261</v>
      </c>
      <c r="P12" t="s">
        <v>6</v>
      </c>
    </row>
    <row r="13" spans="1:16" x14ac:dyDescent="0.25">
      <c r="A13" t="s">
        <v>238</v>
      </c>
      <c r="B13" t="s">
        <v>254</v>
      </c>
      <c r="C13">
        <v>1</v>
      </c>
      <c r="D13">
        <v>2</v>
      </c>
      <c r="E13" t="s">
        <v>240</v>
      </c>
      <c r="F13">
        <v>4</v>
      </c>
      <c r="G13">
        <v>1</v>
      </c>
      <c r="H13" t="s">
        <v>6</v>
      </c>
      <c r="I13">
        <v>2</v>
      </c>
      <c r="J13" t="s">
        <v>92</v>
      </c>
      <c r="K13" t="s">
        <v>262</v>
      </c>
      <c r="L13" t="s">
        <v>256</v>
      </c>
      <c r="M13" t="s">
        <v>257</v>
      </c>
      <c r="N13">
        <v>0</v>
      </c>
      <c r="O13" t="s">
        <v>253</v>
      </c>
      <c r="P13" t="s">
        <v>6</v>
      </c>
    </row>
    <row r="14" spans="1:16" x14ac:dyDescent="0.25">
      <c r="A14" t="s">
        <v>238</v>
      </c>
      <c r="B14" t="s">
        <v>254</v>
      </c>
      <c r="C14">
        <v>1</v>
      </c>
      <c r="D14">
        <v>2</v>
      </c>
      <c r="E14" t="s">
        <v>240</v>
      </c>
      <c r="F14">
        <v>4</v>
      </c>
      <c r="G14">
        <v>1</v>
      </c>
      <c r="H14" t="s">
        <v>6</v>
      </c>
      <c r="I14">
        <v>2</v>
      </c>
      <c r="J14" t="s">
        <v>90</v>
      </c>
      <c r="K14" t="s">
        <v>263</v>
      </c>
      <c r="L14" t="s">
        <v>256</v>
      </c>
      <c r="M14" t="s">
        <v>257</v>
      </c>
      <c r="N14">
        <v>0</v>
      </c>
      <c r="O14" t="s">
        <v>264</v>
      </c>
      <c r="P14" t="s">
        <v>6</v>
      </c>
    </row>
    <row r="15" spans="1:16" x14ac:dyDescent="0.25">
      <c r="A15" t="s">
        <v>238</v>
      </c>
      <c r="B15" t="s">
        <v>265</v>
      </c>
      <c r="C15">
        <v>1</v>
      </c>
      <c r="D15">
        <v>3</v>
      </c>
      <c r="E15" t="s">
        <v>266</v>
      </c>
      <c r="F15">
        <v>4</v>
      </c>
      <c r="G15">
        <v>4</v>
      </c>
      <c r="H15" t="s">
        <v>6</v>
      </c>
      <c r="I15">
        <v>3</v>
      </c>
      <c r="J15" t="s">
        <v>87</v>
      </c>
      <c r="K15" t="s">
        <v>267</v>
      </c>
      <c r="L15" t="s">
        <v>268</v>
      </c>
      <c r="M15" t="s">
        <v>269</v>
      </c>
      <c r="N15">
        <v>0</v>
      </c>
      <c r="O15" t="s">
        <v>244</v>
      </c>
      <c r="P15" t="s">
        <v>6</v>
      </c>
    </row>
    <row r="16" spans="1:16" x14ac:dyDescent="0.25">
      <c r="A16" t="s">
        <v>238</v>
      </c>
      <c r="B16" t="s">
        <v>265</v>
      </c>
      <c r="C16">
        <v>1</v>
      </c>
      <c r="D16">
        <v>3</v>
      </c>
      <c r="E16" t="s">
        <v>266</v>
      </c>
      <c r="F16">
        <v>4</v>
      </c>
      <c r="G16">
        <v>4</v>
      </c>
      <c r="H16" t="s">
        <v>6</v>
      </c>
      <c r="I16">
        <v>3</v>
      </c>
      <c r="J16" t="s">
        <v>247</v>
      </c>
      <c r="K16" t="s">
        <v>270</v>
      </c>
      <c r="L16" t="s">
        <v>268</v>
      </c>
      <c r="M16" t="s">
        <v>269</v>
      </c>
      <c r="N16">
        <v>0</v>
      </c>
      <c r="O16" t="s">
        <v>246</v>
      </c>
      <c r="P16" t="s">
        <v>6</v>
      </c>
    </row>
    <row r="17" spans="1:16" x14ac:dyDescent="0.25">
      <c r="A17" t="s">
        <v>238</v>
      </c>
      <c r="B17" t="s">
        <v>265</v>
      </c>
      <c r="C17">
        <v>1</v>
      </c>
      <c r="D17">
        <v>3</v>
      </c>
      <c r="E17" t="s">
        <v>266</v>
      </c>
      <c r="F17">
        <v>4</v>
      </c>
      <c r="G17">
        <v>4</v>
      </c>
      <c r="H17" t="s">
        <v>6</v>
      </c>
      <c r="I17">
        <v>3</v>
      </c>
      <c r="J17" t="s">
        <v>90</v>
      </c>
      <c r="K17" t="s">
        <v>271</v>
      </c>
      <c r="L17" t="s">
        <v>268</v>
      </c>
      <c r="M17" t="s">
        <v>269</v>
      </c>
      <c r="N17">
        <v>0</v>
      </c>
      <c r="O17" t="s">
        <v>264</v>
      </c>
      <c r="P17" t="s">
        <v>6</v>
      </c>
    </row>
    <row r="18" spans="1:16" x14ac:dyDescent="0.25">
      <c r="A18" t="s">
        <v>272</v>
      </c>
      <c r="B18" t="s">
        <v>273</v>
      </c>
      <c r="C18">
        <v>2</v>
      </c>
      <c r="D18">
        <v>4</v>
      </c>
      <c r="E18" t="s">
        <v>6</v>
      </c>
      <c r="F18" t="s">
        <v>6</v>
      </c>
      <c r="G18" t="s">
        <v>6</v>
      </c>
      <c r="H18" t="s">
        <v>62</v>
      </c>
      <c r="I18">
        <v>1</v>
      </c>
      <c r="J18" t="s">
        <v>87</v>
      </c>
      <c r="K18" t="s">
        <v>274</v>
      </c>
      <c r="L18" t="s">
        <v>61</v>
      </c>
      <c r="M18" t="s">
        <v>62</v>
      </c>
      <c r="N18">
        <v>0</v>
      </c>
      <c r="O18" t="s">
        <v>275</v>
      </c>
      <c r="P18" t="s">
        <v>6</v>
      </c>
    </row>
    <row r="19" spans="1:16" x14ac:dyDescent="0.25">
      <c r="A19" t="s">
        <v>272</v>
      </c>
      <c r="B19" t="s">
        <v>273</v>
      </c>
      <c r="C19">
        <v>2</v>
      </c>
      <c r="D19">
        <v>4</v>
      </c>
      <c r="E19" t="s">
        <v>6</v>
      </c>
      <c r="F19" t="s">
        <v>6</v>
      </c>
      <c r="G19" t="s">
        <v>6</v>
      </c>
      <c r="H19" t="s">
        <v>62</v>
      </c>
      <c r="I19">
        <v>1</v>
      </c>
      <c r="J19" t="s">
        <v>247</v>
      </c>
      <c r="K19" t="s">
        <v>276</v>
      </c>
      <c r="L19" t="s">
        <v>61</v>
      </c>
      <c r="M19" t="s">
        <v>62</v>
      </c>
      <c r="N19">
        <v>0</v>
      </c>
      <c r="O19" t="s">
        <v>277</v>
      </c>
      <c r="P19" t="s">
        <v>6</v>
      </c>
    </row>
    <row r="20" spans="1:16" x14ac:dyDescent="0.25">
      <c r="A20" t="s">
        <v>272</v>
      </c>
      <c r="B20" t="s">
        <v>273</v>
      </c>
      <c r="C20">
        <v>2</v>
      </c>
      <c r="D20">
        <v>4</v>
      </c>
      <c r="E20" t="s">
        <v>6</v>
      </c>
      <c r="F20" t="s">
        <v>6</v>
      </c>
      <c r="G20" t="s">
        <v>6</v>
      </c>
      <c r="H20" t="s">
        <v>62</v>
      </c>
      <c r="I20">
        <v>1</v>
      </c>
      <c r="J20" t="s">
        <v>91</v>
      </c>
      <c r="K20" t="s">
        <v>278</v>
      </c>
      <c r="L20" t="s">
        <v>61</v>
      </c>
      <c r="M20" t="s">
        <v>62</v>
      </c>
      <c r="N20">
        <v>0</v>
      </c>
      <c r="O20" t="s">
        <v>279</v>
      </c>
      <c r="P20" t="s">
        <v>6</v>
      </c>
    </row>
    <row r="21" spans="1:16" x14ac:dyDescent="0.25">
      <c r="A21" t="s">
        <v>272</v>
      </c>
      <c r="B21" t="s">
        <v>273</v>
      </c>
      <c r="C21">
        <v>2</v>
      </c>
      <c r="D21">
        <v>4</v>
      </c>
      <c r="E21" t="s">
        <v>6</v>
      </c>
      <c r="F21" t="s">
        <v>6</v>
      </c>
      <c r="G21" t="s">
        <v>6</v>
      </c>
      <c r="H21" t="s">
        <v>62</v>
      </c>
      <c r="I21">
        <v>1</v>
      </c>
      <c r="J21" t="s">
        <v>96</v>
      </c>
      <c r="K21" t="s">
        <v>280</v>
      </c>
      <c r="L21" t="s">
        <v>61</v>
      </c>
      <c r="M21" t="s">
        <v>62</v>
      </c>
      <c r="N21">
        <v>0</v>
      </c>
      <c r="O21" t="s">
        <v>277</v>
      </c>
      <c r="P21" t="s">
        <v>6</v>
      </c>
    </row>
    <row r="22" spans="1:16" x14ac:dyDescent="0.25">
      <c r="A22" t="s">
        <v>272</v>
      </c>
      <c r="B22" t="s">
        <v>273</v>
      </c>
      <c r="C22">
        <v>2</v>
      </c>
      <c r="D22">
        <v>4</v>
      </c>
      <c r="E22" t="s">
        <v>6</v>
      </c>
      <c r="F22" t="s">
        <v>6</v>
      </c>
      <c r="G22" t="s">
        <v>6</v>
      </c>
      <c r="H22" t="s">
        <v>62</v>
      </c>
      <c r="I22">
        <v>1</v>
      </c>
      <c r="J22" t="s">
        <v>91</v>
      </c>
      <c r="K22" t="s">
        <v>281</v>
      </c>
      <c r="L22" t="s">
        <v>61</v>
      </c>
      <c r="M22" t="s">
        <v>62</v>
      </c>
      <c r="N22">
        <v>0</v>
      </c>
      <c r="O22" t="s">
        <v>279</v>
      </c>
      <c r="P22" t="s">
        <v>6</v>
      </c>
    </row>
    <row r="23" spans="1:16" x14ac:dyDescent="0.25">
      <c r="A23" t="s">
        <v>272</v>
      </c>
      <c r="B23" t="s">
        <v>273</v>
      </c>
      <c r="C23">
        <v>2</v>
      </c>
      <c r="D23">
        <v>4</v>
      </c>
      <c r="E23" t="s">
        <v>6</v>
      </c>
      <c r="F23" t="s">
        <v>6</v>
      </c>
      <c r="G23" t="s">
        <v>6</v>
      </c>
      <c r="H23" t="s">
        <v>62</v>
      </c>
      <c r="I23">
        <v>1</v>
      </c>
      <c r="J23" t="s">
        <v>93</v>
      </c>
      <c r="K23" t="s">
        <v>282</v>
      </c>
      <c r="L23" t="s">
        <v>61</v>
      </c>
      <c r="M23" t="s">
        <v>62</v>
      </c>
      <c r="N23">
        <v>0</v>
      </c>
      <c r="O23" t="s">
        <v>283</v>
      </c>
      <c r="P23" t="s">
        <v>6</v>
      </c>
    </row>
    <row r="24" spans="1:16" x14ac:dyDescent="0.25">
      <c r="A24" t="s">
        <v>272</v>
      </c>
      <c r="B24" t="s">
        <v>273</v>
      </c>
      <c r="C24">
        <v>2</v>
      </c>
      <c r="D24">
        <v>4</v>
      </c>
      <c r="E24" t="s">
        <v>6</v>
      </c>
      <c r="F24" t="s">
        <v>6</v>
      </c>
      <c r="G24" t="s">
        <v>6</v>
      </c>
      <c r="H24" t="s">
        <v>62</v>
      </c>
      <c r="I24">
        <v>1</v>
      </c>
      <c r="J24" t="s">
        <v>92</v>
      </c>
      <c r="K24" t="s">
        <v>284</v>
      </c>
      <c r="L24" t="s">
        <v>61</v>
      </c>
      <c r="M24" t="s">
        <v>62</v>
      </c>
      <c r="N24">
        <v>0</v>
      </c>
      <c r="O24" t="s">
        <v>285</v>
      </c>
      <c r="P24" t="s">
        <v>6</v>
      </c>
    </row>
    <row r="25" spans="1:16" x14ac:dyDescent="0.25">
      <c r="A25" t="s">
        <v>272</v>
      </c>
      <c r="B25" t="s">
        <v>273</v>
      </c>
      <c r="C25">
        <v>2</v>
      </c>
      <c r="D25">
        <v>4</v>
      </c>
      <c r="E25" t="s">
        <v>6</v>
      </c>
      <c r="F25" t="s">
        <v>6</v>
      </c>
      <c r="G25" t="s">
        <v>6</v>
      </c>
      <c r="H25" t="s">
        <v>62</v>
      </c>
      <c r="I25">
        <v>1</v>
      </c>
      <c r="J25" t="s">
        <v>97</v>
      </c>
      <c r="K25" t="s">
        <v>286</v>
      </c>
      <c r="L25" t="s">
        <v>61</v>
      </c>
      <c r="M25" t="s">
        <v>62</v>
      </c>
      <c r="N25">
        <v>0</v>
      </c>
      <c r="O25" t="s">
        <v>287</v>
      </c>
      <c r="P25" t="s">
        <v>6</v>
      </c>
    </row>
    <row r="26" spans="1:16" x14ac:dyDescent="0.25">
      <c r="A26" t="s">
        <v>272</v>
      </c>
      <c r="B26" t="s">
        <v>273</v>
      </c>
      <c r="C26">
        <v>2</v>
      </c>
      <c r="D26">
        <v>4</v>
      </c>
      <c r="E26" t="s">
        <v>6</v>
      </c>
      <c r="F26" t="s">
        <v>6</v>
      </c>
      <c r="G26" t="s">
        <v>6</v>
      </c>
      <c r="H26" t="s">
        <v>62</v>
      </c>
      <c r="I26">
        <v>1</v>
      </c>
      <c r="J26" t="s">
        <v>97</v>
      </c>
      <c r="K26" t="s">
        <v>288</v>
      </c>
      <c r="L26" t="s">
        <v>61</v>
      </c>
      <c r="M26" t="s">
        <v>62</v>
      </c>
      <c r="N26">
        <v>0</v>
      </c>
      <c r="O26" t="s">
        <v>287</v>
      </c>
      <c r="P26" t="s">
        <v>6</v>
      </c>
    </row>
    <row r="27" spans="1:16" x14ac:dyDescent="0.25">
      <c r="A27" t="s">
        <v>272</v>
      </c>
      <c r="B27" t="s">
        <v>273</v>
      </c>
      <c r="C27">
        <v>2</v>
      </c>
      <c r="D27">
        <v>4</v>
      </c>
      <c r="E27" t="s">
        <v>6</v>
      </c>
      <c r="F27" t="s">
        <v>6</v>
      </c>
      <c r="G27" t="s">
        <v>6</v>
      </c>
      <c r="H27" t="s">
        <v>62</v>
      </c>
      <c r="I27">
        <v>1</v>
      </c>
      <c r="J27" t="s">
        <v>98</v>
      </c>
      <c r="K27" t="s">
        <v>289</v>
      </c>
      <c r="L27" t="s">
        <v>61</v>
      </c>
      <c r="M27" t="s">
        <v>62</v>
      </c>
      <c r="N27">
        <v>0</v>
      </c>
      <c r="O27" t="s">
        <v>290</v>
      </c>
      <c r="P27" t="s">
        <v>6</v>
      </c>
    </row>
    <row r="28" spans="1:16" x14ac:dyDescent="0.25">
      <c r="A28" t="s">
        <v>272</v>
      </c>
      <c r="B28" t="s">
        <v>273</v>
      </c>
      <c r="C28">
        <v>2</v>
      </c>
      <c r="D28">
        <v>4</v>
      </c>
      <c r="E28" t="s">
        <v>6</v>
      </c>
      <c r="F28" t="s">
        <v>6</v>
      </c>
      <c r="G28" t="s">
        <v>6</v>
      </c>
      <c r="H28" t="s">
        <v>62</v>
      </c>
      <c r="I28">
        <v>1</v>
      </c>
      <c r="J28" t="s">
        <v>90</v>
      </c>
      <c r="K28" t="s">
        <v>291</v>
      </c>
      <c r="L28" t="s">
        <v>61</v>
      </c>
      <c r="M28" t="s">
        <v>62</v>
      </c>
      <c r="N28">
        <v>0</v>
      </c>
      <c r="O28" t="s">
        <v>292</v>
      </c>
      <c r="P28" t="s">
        <v>6</v>
      </c>
    </row>
    <row r="29" spans="1:16" x14ac:dyDescent="0.25">
      <c r="A29" t="s">
        <v>272</v>
      </c>
      <c r="B29" t="s">
        <v>293</v>
      </c>
      <c r="C29">
        <v>3</v>
      </c>
      <c r="D29">
        <v>5</v>
      </c>
      <c r="E29" t="s">
        <v>6</v>
      </c>
      <c r="F29" t="s">
        <v>6</v>
      </c>
      <c r="G29" t="s">
        <v>6</v>
      </c>
      <c r="H29" t="s">
        <v>66</v>
      </c>
      <c r="I29">
        <v>1</v>
      </c>
      <c r="J29" t="s">
        <v>87</v>
      </c>
      <c r="K29" t="s">
        <v>294</v>
      </c>
      <c r="L29" t="s">
        <v>65</v>
      </c>
      <c r="M29" t="s">
        <v>66</v>
      </c>
      <c r="N29">
        <v>0</v>
      </c>
      <c r="O29" t="s">
        <v>275</v>
      </c>
      <c r="P29" t="s">
        <v>295</v>
      </c>
    </row>
    <row r="30" spans="1:16" x14ac:dyDescent="0.25">
      <c r="A30" t="s">
        <v>272</v>
      </c>
      <c r="B30" t="s">
        <v>293</v>
      </c>
      <c r="C30">
        <v>3</v>
      </c>
      <c r="D30">
        <v>5</v>
      </c>
      <c r="E30" t="s">
        <v>6</v>
      </c>
      <c r="F30" t="s">
        <v>6</v>
      </c>
      <c r="G30" t="s">
        <v>6</v>
      </c>
      <c r="H30" t="s">
        <v>66</v>
      </c>
      <c r="I30">
        <v>1</v>
      </c>
      <c r="J30" t="s">
        <v>92</v>
      </c>
      <c r="K30" t="s">
        <v>296</v>
      </c>
      <c r="L30" t="s">
        <v>65</v>
      </c>
      <c r="M30" t="s">
        <v>66</v>
      </c>
      <c r="N30">
        <v>0</v>
      </c>
      <c r="O30" t="s">
        <v>297</v>
      </c>
      <c r="P30" t="s">
        <v>298</v>
      </c>
    </row>
    <row r="31" spans="1:16" x14ac:dyDescent="0.25">
      <c r="A31" t="s">
        <v>272</v>
      </c>
      <c r="B31" t="s">
        <v>293</v>
      </c>
      <c r="C31">
        <v>3</v>
      </c>
      <c r="D31">
        <v>5</v>
      </c>
      <c r="E31" t="s">
        <v>6</v>
      </c>
      <c r="F31" t="s">
        <v>6</v>
      </c>
      <c r="G31" t="s">
        <v>6</v>
      </c>
      <c r="H31" t="s">
        <v>66</v>
      </c>
      <c r="I31">
        <v>1</v>
      </c>
      <c r="J31" t="s">
        <v>102</v>
      </c>
      <c r="K31" t="s">
        <v>299</v>
      </c>
      <c r="L31" t="s">
        <v>65</v>
      </c>
      <c r="M31" t="s">
        <v>66</v>
      </c>
      <c r="N31">
        <v>0</v>
      </c>
      <c r="O31" t="s">
        <v>300</v>
      </c>
      <c r="P31" t="s">
        <v>301</v>
      </c>
    </row>
    <row r="32" spans="1:16" x14ac:dyDescent="0.25">
      <c r="A32" t="s">
        <v>272</v>
      </c>
      <c r="B32" t="s">
        <v>293</v>
      </c>
      <c r="C32">
        <v>3</v>
      </c>
      <c r="D32">
        <v>5</v>
      </c>
      <c r="E32" t="s">
        <v>6</v>
      </c>
      <c r="F32" t="s">
        <v>6</v>
      </c>
      <c r="G32" t="s">
        <v>6</v>
      </c>
      <c r="H32" t="s">
        <v>66</v>
      </c>
      <c r="I32">
        <v>1</v>
      </c>
      <c r="J32" t="s">
        <v>102</v>
      </c>
      <c r="K32" t="s">
        <v>302</v>
      </c>
      <c r="L32" t="s">
        <v>65</v>
      </c>
      <c r="M32" t="s">
        <v>66</v>
      </c>
      <c r="N32">
        <v>0</v>
      </c>
      <c r="O32" t="s">
        <v>300</v>
      </c>
      <c r="P32" t="s">
        <v>303</v>
      </c>
    </row>
    <row r="33" spans="1:16" x14ac:dyDescent="0.25">
      <c r="A33" t="s">
        <v>272</v>
      </c>
      <c r="B33" t="s">
        <v>293</v>
      </c>
      <c r="C33">
        <v>3</v>
      </c>
      <c r="D33">
        <v>5</v>
      </c>
      <c r="E33" t="s">
        <v>6</v>
      </c>
      <c r="F33" t="s">
        <v>6</v>
      </c>
      <c r="G33" t="s">
        <v>6</v>
      </c>
      <c r="H33" t="s">
        <v>66</v>
      </c>
      <c r="I33">
        <v>1</v>
      </c>
      <c r="J33" t="s">
        <v>102</v>
      </c>
      <c r="K33" t="s">
        <v>304</v>
      </c>
      <c r="L33" t="s">
        <v>65</v>
      </c>
      <c r="M33" t="s">
        <v>66</v>
      </c>
      <c r="N33">
        <v>0</v>
      </c>
      <c r="O33" t="s">
        <v>300</v>
      </c>
      <c r="P33" t="s">
        <v>301</v>
      </c>
    </row>
    <row r="34" spans="1:16" x14ac:dyDescent="0.25">
      <c r="A34" t="s">
        <v>272</v>
      </c>
      <c r="B34" t="s">
        <v>293</v>
      </c>
      <c r="C34">
        <v>3</v>
      </c>
      <c r="D34">
        <v>5</v>
      </c>
      <c r="E34" t="s">
        <v>6</v>
      </c>
      <c r="F34" t="s">
        <v>6</v>
      </c>
      <c r="G34" t="s">
        <v>6</v>
      </c>
      <c r="H34" t="s">
        <v>66</v>
      </c>
      <c r="I34">
        <v>1</v>
      </c>
      <c r="J34" t="s">
        <v>102</v>
      </c>
      <c r="K34" t="s">
        <v>305</v>
      </c>
      <c r="L34" t="s">
        <v>65</v>
      </c>
      <c r="M34" t="s">
        <v>66</v>
      </c>
      <c r="N34">
        <v>0</v>
      </c>
      <c r="O34" t="s">
        <v>300</v>
      </c>
      <c r="P34" t="s">
        <v>303</v>
      </c>
    </row>
    <row r="35" spans="1:16" x14ac:dyDescent="0.25">
      <c r="A35" t="s">
        <v>272</v>
      </c>
      <c r="B35" t="s">
        <v>306</v>
      </c>
      <c r="C35">
        <v>4</v>
      </c>
      <c r="D35">
        <v>6</v>
      </c>
      <c r="E35" t="s">
        <v>6</v>
      </c>
      <c r="F35" t="s">
        <v>6</v>
      </c>
      <c r="G35" t="s">
        <v>6</v>
      </c>
      <c r="H35" t="s">
        <v>70</v>
      </c>
      <c r="I35">
        <v>1</v>
      </c>
      <c r="J35" t="s">
        <v>87</v>
      </c>
      <c r="K35" t="s">
        <v>307</v>
      </c>
      <c r="L35" t="s">
        <v>69</v>
      </c>
      <c r="M35" t="s">
        <v>70</v>
      </c>
      <c r="N35">
        <v>0</v>
      </c>
      <c r="O35" t="s">
        <v>308</v>
      </c>
      <c r="P35" t="s">
        <v>6</v>
      </c>
    </row>
    <row r="36" spans="1:16" x14ac:dyDescent="0.25">
      <c r="A36" t="s">
        <v>272</v>
      </c>
      <c r="B36" t="s">
        <v>306</v>
      </c>
      <c r="C36">
        <v>4</v>
      </c>
      <c r="D36">
        <v>6</v>
      </c>
      <c r="E36" t="s">
        <v>6</v>
      </c>
      <c r="F36" t="s">
        <v>6</v>
      </c>
      <c r="G36" t="s">
        <v>6</v>
      </c>
      <c r="H36" t="s">
        <v>70</v>
      </c>
      <c r="I36">
        <v>1</v>
      </c>
      <c r="J36" t="s">
        <v>247</v>
      </c>
      <c r="K36" t="s">
        <v>309</v>
      </c>
      <c r="L36" t="s">
        <v>69</v>
      </c>
      <c r="M36" t="s">
        <v>70</v>
      </c>
      <c r="N36">
        <v>0</v>
      </c>
      <c r="O36" t="s">
        <v>277</v>
      </c>
      <c r="P36" t="s">
        <v>6</v>
      </c>
    </row>
    <row r="37" spans="1:16" x14ac:dyDescent="0.25">
      <c r="A37" t="s">
        <v>272</v>
      </c>
      <c r="B37" t="s">
        <v>306</v>
      </c>
      <c r="C37">
        <v>4</v>
      </c>
      <c r="D37">
        <v>6</v>
      </c>
      <c r="E37" t="s">
        <v>6</v>
      </c>
      <c r="F37" t="s">
        <v>6</v>
      </c>
      <c r="G37" t="s">
        <v>6</v>
      </c>
      <c r="H37" t="s">
        <v>70</v>
      </c>
      <c r="I37">
        <v>1</v>
      </c>
      <c r="J37" t="s">
        <v>91</v>
      </c>
      <c r="K37" t="s">
        <v>310</v>
      </c>
      <c r="L37" t="s">
        <v>69</v>
      </c>
      <c r="M37" t="s">
        <v>70</v>
      </c>
      <c r="N37">
        <v>0</v>
      </c>
      <c r="O37" t="s">
        <v>279</v>
      </c>
      <c r="P37" t="s">
        <v>6</v>
      </c>
    </row>
    <row r="38" spans="1:16" x14ac:dyDescent="0.25">
      <c r="A38" t="s">
        <v>272</v>
      </c>
      <c r="B38" t="s">
        <v>306</v>
      </c>
      <c r="C38">
        <v>4</v>
      </c>
      <c r="D38">
        <v>6</v>
      </c>
      <c r="E38" t="s">
        <v>6</v>
      </c>
      <c r="F38" t="s">
        <v>6</v>
      </c>
      <c r="G38" t="s">
        <v>6</v>
      </c>
      <c r="H38" t="s">
        <v>70</v>
      </c>
      <c r="I38">
        <v>1</v>
      </c>
      <c r="J38" t="s">
        <v>91</v>
      </c>
      <c r="K38" t="s">
        <v>311</v>
      </c>
      <c r="L38" t="s">
        <v>69</v>
      </c>
      <c r="M38" t="s">
        <v>70</v>
      </c>
      <c r="N38">
        <v>0</v>
      </c>
      <c r="O38" t="s">
        <v>279</v>
      </c>
      <c r="P38" t="s">
        <v>6</v>
      </c>
    </row>
    <row r="39" spans="1:16" x14ac:dyDescent="0.25">
      <c r="A39" t="s">
        <v>272</v>
      </c>
      <c r="B39" t="s">
        <v>306</v>
      </c>
      <c r="C39">
        <v>4</v>
      </c>
      <c r="D39">
        <v>6</v>
      </c>
      <c r="E39" t="s">
        <v>6</v>
      </c>
      <c r="F39" t="s">
        <v>6</v>
      </c>
      <c r="G39" t="s">
        <v>6</v>
      </c>
      <c r="H39" t="s">
        <v>70</v>
      </c>
      <c r="I39">
        <v>1</v>
      </c>
      <c r="J39" t="s">
        <v>93</v>
      </c>
      <c r="K39" t="s">
        <v>312</v>
      </c>
      <c r="L39" t="s">
        <v>69</v>
      </c>
      <c r="M39" t="s">
        <v>70</v>
      </c>
      <c r="N39">
        <v>0</v>
      </c>
      <c r="O39" t="s">
        <v>283</v>
      </c>
      <c r="P39" t="s">
        <v>6</v>
      </c>
    </row>
    <row r="40" spans="1:16" x14ac:dyDescent="0.25">
      <c r="A40" t="s">
        <v>272</v>
      </c>
      <c r="B40" t="s">
        <v>306</v>
      </c>
      <c r="C40">
        <v>4</v>
      </c>
      <c r="D40">
        <v>6</v>
      </c>
      <c r="E40" t="s">
        <v>6</v>
      </c>
      <c r="F40" t="s">
        <v>6</v>
      </c>
      <c r="G40" t="s">
        <v>6</v>
      </c>
      <c r="H40" t="s">
        <v>70</v>
      </c>
      <c r="I40">
        <v>2</v>
      </c>
      <c r="J40" t="s">
        <v>87</v>
      </c>
      <c r="K40" t="s">
        <v>313</v>
      </c>
      <c r="L40" t="s">
        <v>69</v>
      </c>
      <c r="M40" t="s">
        <v>70</v>
      </c>
      <c r="N40">
        <v>0</v>
      </c>
      <c r="O40" t="s">
        <v>308</v>
      </c>
      <c r="P40" t="s">
        <v>6</v>
      </c>
    </row>
    <row r="41" spans="1:16" x14ac:dyDescent="0.25">
      <c r="A41" t="s">
        <v>272</v>
      </c>
      <c r="B41" t="s">
        <v>306</v>
      </c>
      <c r="C41">
        <v>4</v>
      </c>
      <c r="D41">
        <v>6</v>
      </c>
      <c r="E41" t="s">
        <v>6</v>
      </c>
      <c r="F41" t="s">
        <v>6</v>
      </c>
      <c r="G41" t="s">
        <v>6</v>
      </c>
      <c r="H41" t="s">
        <v>70</v>
      </c>
      <c r="I41">
        <v>2</v>
      </c>
      <c r="J41" t="s">
        <v>247</v>
      </c>
      <c r="K41" t="s">
        <v>314</v>
      </c>
      <c r="L41" t="s">
        <v>69</v>
      </c>
      <c r="M41" t="s">
        <v>70</v>
      </c>
      <c r="N41">
        <v>0</v>
      </c>
      <c r="O41" t="s">
        <v>277</v>
      </c>
      <c r="P41" t="s">
        <v>6</v>
      </c>
    </row>
    <row r="42" spans="1:16" x14ac:dyDescent="0.25">
      <c r="A42" t="s">
        <v>272</v>
      </c>
      <c r="B42" t="s">
        <v>306</v>
      </c>
      <c r="C42">
        <v>4</v>
      </c>
      <c r="D42">
        <v>6</v>
      </c>
      <c r="E42" t="s">
        <v>6</v>
      </c>
      <c r="F42" t="s">
        <v>6</v>
      </c>
      <c r="G42" t="s">
        <v>6</v>
      </c>
      <c r="H42" t="s">
        <v>70</v>
      </c>
      <c r="I42">
        <v>2</v>
      </c>
      <c r="J42" t="s">
        <v>91</v>
      </c>
      <c r="K42" t="s">
        <v>315</v>
      </c>
      <c r="L42" t="s">
        <v>69</v>
      </c>
      <c r="M42" t="s">
        <v>70</v>
      </c>
      <c r="N42">
        <v>0</v>
      </c>
      <c r="O42" t="s">
        <v>279</v>
      </c>
      <c r="P42" t="s">
        <v>6</v>
      </c>
    </row>
    <row r="43" spans="1:16" x14ac:dyDescent="0.25">
      <c r="A43" t="s">
        <v>272</v>
      </c>
      <c r="B43" t="s">
        <v>306</v>
      </c>
      <c r="C43">
        <v>4</v>
      </c>
      <c r="D43">
        <v>6</v>
      </c>
      <c r="E43" t="s">
        <v>6</v>
      </c>
      <c r="F43" t="s">
        <v>6</v>
      </c>
      <c r="G43" t="s">
        <v>6</v>
      </c>
      <c r="H43" t="s">
        <v>70</v>
      </c>
      <c r="I43">
        <v>2</v>
      </c>
      <c r="J43" t="s">
        <v>91</v>
      </c>
      <c r="K43" t="s">
        <v>316</v>
      </c>
      <c r="L43" t="s">
        <v>69</v>
      </c>
      <c r="M43" t="s">
        <v>70</v>
      </c>
      <c r="N43">
        <v>0</v>
      </c>
      <c r="O43" t="s">
        <v>279</v>
      </c>
      <c r="P43" t="s">
        <v>6</v>
      </c>
    </row>
    <row r="44" spans="1:16" x14ac:dyDescent="0.25">
      <c r="A44" t="s">
        <v>272</v>
      </c>
      <c r="B44" t="s">
        <v>306</v>
      </c>
      <c r="C44">
        <v>4</v>
      </c>
      <c r="D44">
        <v>6</v>
      </c>
      <c r="E44" t="s">
        <v>6</v>
      </c>
      <c r="F44" t="s">
        <v>6</v>
      </c>
      <c r="G44" t="s">
        <v>6</v>
      </c>
      <c r="H44" t="s">
        <v>70</v>
      </c>
      <c r="I44">
        <v>2</v>
      </c>
      <c r="J44" t="s">
        <v>93</v>
      </c>
      <c r="K44" t="s">
        <v>317</v>
      </c>
      <c r="L44" t="s">
        <v>69</v>
      </c>
      <c r="M44" t="s">
        <v>70</v>
      </c>
      <c r="N44">
        <v>0</v>
      </c>
      <c r="O44" t="s">
        <v>283</v>
      </c>
      <c r="P44" t="s">
        <v>6</v>
      </c>
    </row>
    <row r="45" spans="1:16" x14ac:dyDescent="0.25">
      <c r="A45" t="s">
        <v>272</v>
      </c>
      <c r="B45" t="s">
        <v>318</v>
      </c>
      <c r="C45">
        <v>5</v>
      </c>
      <c r="D45">
        <v>7</v>
      </c>
      <c r="E45" t="s">
        <v>6</v>
      </c>
      <c r="F45" t="s">
        <v>6</v>
      </c>
      <c r="G45" t="s">
        <v>6</v>
      </c>
      <c r="H45" t="s">
        <v>74</v>
      </c>
      <c r="I45">
        <v>1</v>
      </c>
      <c r="J45" t="s">
        <v>106</v>
      </c>
      <c r="K45" t="s">
        <v>319</v>
      </c>
      <c r="L45" t="s">
        <v>73</v>
      </c>
      <c r="M45" t="s">
        <v>74</v>
      </c>
      <c r="N45">
        <v>0</v>
      </c>
      <c r="O45" t="s">
        <v>277</v>
      </c>
      <c r="P45" t="s">
        <v>6</v>
      </c>
    </row>
    <row r="46" spans="1:16" x14ac:dyDescent="0.25">
      <c r="A46" t="s">
        <v>272</v>
      </c>
      <c r="B46" t="s">
        <v>318</v>
      </c>
      <c r="C46">
        <v>5</v>
      </c>
      <c r="D46">
        <v>7</v>
      </c>
      <c r="E46" t="s">
        <v>6</v>
      </c>
      <c r="F46" t="s">
        <v>6</v>
      </c>
      <c r="G46" t="s">
        <v>6</v>
      </c>
      <c r="H46" t="s">
        <v>74</v>
      </c>
      <c r="I46">
        <v>1</v>
      </c>
      <c r="J46" t="s">
        <v>91</v>
      </c>
      <c r="K46" t="s">
        <v>320</v>
      </c>
      <c r="L46" t="s">
        <v>73</v>
      </c>
      <c r="M46" t="s">
        <v>74</v>
      </c>
      <c r="N46">
        <v>0</v>
      </c>
      <c r="O46" t="s">
        <v>321</v>
      </c>
      <c r="P46" t="s">
        <v>6</v>
      </c>
    </row>
    <row r="47" spans="1:16" x14ac:dyDescent="0.25">
      <c r="A47" t="s">
        <v>272</v>
      </c>
      <c r="B47" t="s">
        <v>318</v>
      </c>
      <c r="C47">
        <v>5</v>
      </c>
      <c r="D47">
        <v>7</v>
      </c>
      <c r="E47" t="s">
        <v>6</v>
      </c>
      <c r="F47" t="s">
        <v>6</v>
      </c>
      <c r="G47" t="s">
        <v>6</v>
      </c>
      <c r="H47" t="s">
        <v>74</v>
      </c>
      <c r="I47">
        <v>1</v>
      </c>
      <c r="J47" t="s">
        <v>92</v>
      </c>
      <c r="K47" t="s">
        <v>322</v>
      </c>
      <c r="L47" t="s">
        <v>73</v>
      </c>
      <c r="M47" t="s">
        <v>74</v>
      </c>
      <c r="N47">
        <v>0</v>
      </c>
      <c r="O47" t="s">
        <v>323</v>
      </c>
      <c r="P47" t="s">
        <v>6</v>
      </c>
    </row>
    <row r="48" spans="1:16" x14ac:dyDescent="0.25">
      <c r="A48" t="s">
        <v>272</v>
      </c>
      <c r="B48" t="s">
        <v>318</v>
      </c>
      <c r="C48">
        <v>5</v>
      </c>
      <c r="D48">
        <v>7</v>
      </c>
      <c r="E48" t="s">
        <v>6</v>
      </c>
      <c r="F48" t="s">
        <v>6</v>
      </c>
      <c r="G48" t="s">
        <v>6</v>
      </c>
      <c r="H48" t="s">
        <v>74</v>
      </c>
      <c r="I48">
        <v>2</v>
      </c>
      <c r="J48" t="s">
        <v>106</v>
      </c>
      <c r="K48" t="s">
        <v>324</v>
      </c>
      <c r="L48" t="s">
        <v>73</v>
      </c>
      <c r="M48" t="s">
        <v>74</v>
      </c>
      <c r="N48">
        <v>0</v>
      </c>
      <c r="O48" t="s">
        <v>277</v>
      </c>
      <c r="P48" t="s">
        <v>6</v>
      </c>
    </row>
    <row r="49" spans="1:16" x14ac:dyDescent="0.25">
      <c r="A49" t="s">
        <v>272</v>
      </c>
      <c r="B49" t="s">
        <v>318</v>
      </c>
      <c r="C49">
        <v>5</v>
      </c>
      <c r="D49">
        <v>7</v>
      </c>
      <c r="E49" t="s">
        <v>6</v>
      </c>
      <c r="F49" t="s">
        <v>6</v>
      </c>
      <c r="G49" t="s">
        <v>6</v>
      </c>
      <c r="H49" t="s">
        <v>74</v>
      </c>
      <c r="I49">
        <v>2</v>
      </c>
      <c r="J49" t="s">
        <v>91</v>
      </c>
      <c r="K49" t="s">
        <v>325</v>
      </c>
      <c r="L49" t="s">
        <v>73</v>
      </c>
      <c r="M49" t="s">
        <v>74</v>
      </c>
      <c r="N49">
        <v>0</v>
      </c>
      <c r="O49" t="s">
        <v>321</v>
      </c>
      <c r="P49" t="s">
        <v>6</v>
      </c>
    </row>
    <row r="50" spans="1:16" x14ac:dyDescent="0.25">
      <c r="A50" t="s">
        <v>272</v>
      </c>
      <c r="B50" t="s">
        <v>318</v>
      </c>
      <c r="C50">
        <v>5</v>
      </c>
      <c r="D50">
        <v>7</v>
      </c>
      <c r="E50" t="s">
        <v>6</v>
      </c>
      <c r="F50" t="s">
        <v>6</v>
      </c>
      <c r="G50" t="s">
        <v>6</v>
      </c>
      <c r="H50" t="s">
        <v>74</v>
      </c>
      <c r="I50">
        <v>2</v>
      </c>
      <c r="J50" t="s">
        <v>92</v>
      </c>
      <c r="K50" t="s">
        <v>326</v>
      </c>
      <c r="L50" t="s">
        <v>73</v>
      </c>
      <c r="M50" t="s">
        <v>74</v>
      </c>
      <c r="N50">
        <v>0</v>
      </c>
      <c r="O50" t="s">
        <v>323</v>
      </c>
      <c r="P50" t="s">
        <v>6</v>
      </c>
    </row>
    <row r="51" spans="1:16" x14ac:dyDescent="0.25">
      <c r="A51" t="s">
        <v>272</v>
      </c>
      <c r="B51" t="s">
        <v>318</v>
      </c>
      <c r="C51">
        <v>5</v>
      </c>
      <c r="D51">
        <v>7</v>
      </c>
      <c r="E51" t="s">
        <v>6</v>
      </c>
      <c r="F51" t="s">
        <v>6</v>
      </c>
      <c r="G51" t="s">
        <v>6</v>
      </c>
      <c r="H51" t="s">
        <v>74</v>
      </c>
      <c r="I51">
        <v>3</v>
      </c>
      <c r="J51" t="s">
        <v>106</v>
      </c>
      <c r="K51" t="s">
        <v>327</v>
      </c>
      <c r="L51" t="s">
        <v>73</v>
      </c>
      <c r="M51" t="s">
        <v>74</v>
      </c>
      <c r="N51">
        <v>0</v>
      </c>
      <c r="O51" t="s">
        <v>277</v>
      </c>
      <c r="P51" t="s">
        <v>6</v>
      </c>
    </row>
    <row r="52" spans="1:16" x14ac:dyDescent="0.25">
      <c r="A52" t="s">
        <v>272</v>
      </c>
      <c r="B52" t="s">
        <v>318</v>
      </c>
      <c r="C52">
        <v>5</v>
      </c>
      <c r="D52">
        <v>7</v>
      </c>
      <c r="E52" t="s">
        <v>6</v>
      </c>
      <c r="F52" t="s">
        <v>6</v>
      </c>
      <c r="G52" t="s">
        <v>6</v>
      </c>
      <c r="H52" t="s">
        <v>74</v>
      </c>
      <c r="I52">
        <v>3</v>
      </c>
      <c r="J52" t="s">
        <v>91</v>
      </c>
      <c r="K52" t="s">
        <v>328</v>
      </c>
      <c r="L52" t="s">
        <v>73</v>
      </c>
      <c r="M52" t="s">
        <v>74</v>
      </c>
      <c r="N52">
        <v>0</v>
      </c>
      <c r="O52" t="s">
        <v>321</v>
      </c>
      <c r="P52" t="s">
        <v>6</v>
      </c>
    </row>
    <row r="53" spans="1:16" x14ac:dyDescent="0.25">
      <c r="A53" t="s">
        <v>272</v>
      </c>
      <c r="B53" t="s">
        <v>318</v>
      </c>
      <c r="C53">
        <v>5</v>
      </c>
      <c r="D53">
        <v>7</v>
      </c>
      <c r="E53" t="s">
        <v>6</v>
      </c>
      <c r="F53" t="s">
        <v>6</v>
      </c>
      <c r="G53" t="s">
        <v>6</v>
      </c>
      <c r="H53" t="s">
        <v>74</v>
      </c>
      <c r="I53">
        <v>3</v>
      </c>
      <c r="J53" t="s">
        <v>92</v>
      </c>
      <c r="K53" t="s">
        <v>329</v>
      </c>
      <c r="L53" t="s">
        <v>73</v>
      </c>
      <c r="M53" t="s">
        <v>74</v>
      </c>
      <c r="N53">
        <v>0</v>
      </c>
      <c r="O53" t="s">
        <v>323</v>
      </c>
      <c r="P53" t="s">
        <v>6</v>
      </c>
    </row>
  </sheetData>
  <phoneticPr fontId="19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/>
  </sheetViews>
  <sheetFormatPr defaultRowHeight="15.75" x14ac:dyDescent="0.25"/>
  <sheetData>
    <row r="1" spans="1:7" x14ac:dyDescent="0.25">
      <c r="A1" t="s">
        <v>330</v>
      </c>
      <c r="B1" t="s">
        <v>52</v>
      </c>
    </row>
    <row r="2" spans="1:7" x14ac:dyDescent="0.25">
      <c r="A2" t="s">
        <v>331</v>
      </c>
      <c r="B2" t="s">
        <v>332</v>
      </c>
      <c r="C2" t="s">
        <v>333</v>
      </c>
      <c r="D2" t="s">
        <v>334</v>
      </c>
      <c r="E2" t="s">
        <v>335</v>
      </c>
      <c r="F2" t="s">
        <v>336</v>
      </c>
      <c r="G2" t="s">
        <v>337</v>
      </c>
    </row>
    <row r="3" spans="1:7" x14ac:dyDescent="0.25">
      <c r="A3">
        <v>1</v>
      </c>
      <c r="B3" t="s">
        <v>107</v>
      </c>
      <c r="C3" t="s">
        <v>338</v>
      </c>
      <c r="D3" t="s">
        <v>339</v>
      </c>
      <c r="E3" t="s">
        <v>340</v>
      </c>
      <c r="F3" t="s">
        <v>341</v>
      </c>
      <c r="G3">
        <v>0</v>
      </c>
    </row>
    <row r="4" spans="1:7" x14ac:dyDescent="0.25">
      <c r="A4">
        <v>2</v>
      </c>
      <c r="B4" t="s">
        <v>108</v>
      </c>
      <c r="C4" t="s">
        <v>342</v>
      </c>
      <c r="D4" t="s">
        <v>343</v>
      </c>
      <c r="E4" t="s">
        <v>344</v>
      </c>
      <c r="F4" t="s">
        <v>345</v>
      </c>
      <c r="G4">
        <v>0</v>
      </c>
    </row>
    <row r="5" spans="1:7" x14ac:dyDescent="0.25">
      <c r="A5">
        <v>3</v>
      </c>
      <c r="B5" t="s">
        <v>109</v>
      </c>
      <c r="C5" t="s">
        <v>346</v>
      </c>
      <c r="D5" t="s">
        <v>347</v>
      </c>
      <c r="E5" t="s">
        <v>348</v>
      </c>
      <c r="F5" t="s">
        <v>349</v>
      </c>
      <c r="G5">
        <v>1</v>
      </c>
    </row>
    <row r="6" spans="1:7" x14ac:dyDescent="0.25">
      <c r="A6">
        <v>4</v>
      </c>
      <c r="B6" t="s">
        <v>110</v>
      </c>
      <c r="C6" t="s">
        <v>350</v>
      </c>
      <c r="D6" t="s">
        <v>351</v>
      </c>
      <c r="E6" t="s">
        <v>352</v>
      </c>
      <c r="F6" t="s">
        <v>353</v>
      </c>
      <c r="G6">
        <v>1</v>
      </c>
    </row>
    <row r="7" spans="1:7" x14ac:dyDescent="0.25">
      <c r="A7">
        <v>5</v>
      </c>
      <c r="B7" t="s">
        <v>111</v>
      </c>
      <c r="C7" t="s">
        <v>354</v>
      </c>
      <c r="D7" t="s">
        <v>355</v>
      </c>
      <c r="E7" t="s">
        <v>356</v>
      </c>
      <c r="F7" t="s">
        <v>357</v>
      </c>
      <c r="G7">
        <v>1</v>
      </c>
    </row>
  </sheetData>
  <phoneticPr fontId="19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9"/>
  <sheetViews>
    <sheetView workbookViewId="0"/>
  </sheetViews>
  <sheetFormatPr defaultRowHeight="15.75" x14ac:dyDescent="0.25"/>
  <cols>
    <col min="1" max="2" width="28" customWidth="1"/>
    <col min="3" max="3" width="12" customWidth="1"/>
  </cols>
  <sheetData>
    <row r="1" spans="1:3" x14ac:dyDescent="0.25">
      <c r="A1" t="s">
        <v>358</v>
      </c>
      <c r="B1" t="s">
        <v>359</v>
      </c>
      <c r="C1" t="s">
        <v>360</v>
      </c>
    </row>
    <row r="2" spans="1:3" x14ac:dyDescent="0.25">
      <c r="A2" t="s">
        <v>361</v>
      </c>
      <c r="B2" t="s">
        <v>362</v>
      </c>
      <c r="C2" t="s">
        <v>363</v>
      </c>
    </row>
    <row r="3" spans="1:3" x14ac:dyDescent="0.25">
      <c r="A3" t="s">
        <v>364</v>
      </c>
      <c r="B3" t="s">
        <v>365</v>
      </c>
      <c r="C3" t="s">
        <v>363</v>
      </c>
    </row>
    <row r="4" spans="1:3" x14ac:dyDescent="0.25">
      <c r="A4" t="s">
        <v>366</v>
      </c>
      <c r="B4" t="s">
        <v>365</v>
      </c>
      <c r="C4" t="s">
        <v>363</v>
      </c>
    </row>
    <row r="5" spans="1:3" x14ac:dyDescent="0.25">
      <c r="A5" t="s">
        <v>367</v>
      </c>
      <c r="B5" t="s">
        <v>365</v>
      </c>
      <c r="C5" t="s">
        <v>363</v>
      </c>
    </row>
    <row r="6" spans="1:3" x14ac:dyDescent="0.25">
      <c r="A6" t="s">
        <v>368</v>
      </c>
      <c r="B6" t="s">
        <v>365</v>
      </c>
      <c r="C6" t="s">
        <v>363</v>
      </c>
    </row>
    <row r="7" spans="1:3" x14ac:dyDescent="0.25">
      <c r="A7" t="s">
        <v>369</v>
      </c>
      <c r="B7" t="s">
        <v>365</v>
      </c>
      <c r="C7" t="s">
        <v>363</v>
      </c>
    </row>
    <row r="8" spans="1:3" x14ac:dyDescent="0.25">
      <c r="A8" t="s">
        <v>370</v>
      </c>
      <c r="B8" t="s">
        <v>365</v>
      </c>
      <c r="C8" t="s">
        <v>363</v>
      </c>
    </row>
    <row r="9" spans="1:3" x14ac:dyDescent="0.25">
      <c r="A9" t="s">
        <v>371</v>
      </c>
      <c r="B9" t="s">
        <v>372</v>
      </c>
      <c r="C9" t="s">
        <v>363</v>
      </c>
    </row>
    <row r="10" spans="1:3" x14ac:dyDescent="0.25">
      <c r="A10" t="s">
        <v>373</v>
      </c>
      <c r="B10" t="s">
        <v>372</v>
      </c>
      <c r="C10" t="s">
        <v>363</v>
      </c>
    </row>
    <row r="11" spans="1:3" x14ac:dyDescent="0.25">
      <c r="A11" t="s">
        <v>374</v>
      </c>
      <c r="B11" t="s">
        <v>372</v>
      </c>
      <c r="C11" t="s">
        <v>363</v>
      </c>
    </row>
    <row r="12" spans="1:3" x14ac:dyDescent="0.25">
      <c r="A12" t="s">
        <v>375</v>
      </c>
      <c r="B12" t="s">
        <v>376</v>
      </c>
      <c r="C12" t="s">
        <v>377</v>
      </c>
    </row>
    <row r="13" spans="1:3" x14ac:dyDescent="0.25">
      <c r="A13" t="s">
        <v>378</v>
      </c>
      <c r="B13" t="s">
        <v>376</v>
      </c>
      <c r="C13" t="s">
        <v>377</v>
      </c>
    </row>
    <row r="14" spans="1:3" x14ac:dyDescent="0.25">
      <c r="A14" t="s">
        <v>379</v>
      </c>
      <c r="B14" t="s">
        <v>376</v>
      </c>
      <c r="C14" t="s">
        <v>377</v>
      </c>
    </row>
    <row r="15" spans="1:3" x14ac:dyDescent="0.25">
      <c r="A15" t="s">
        <v>380</v>
      </c>
      <c r="B15" t="s">
        <v>376</v>
      </c>
      <c r="C15" t="s">
        <v>377</v>
      </c>
    </row>
    <row r="16" spans="1:3" x14ac:dyDescent="0.25">
      <c r="A16" t="s">
        <v>381</v>
      </c>
      <c r="B16" t="s">
        <v>376</v>
      </c>
      <c r="C16" t="s">
        <v>377</v>
      </c>
    </row>
    <row r="17" spans="1:3" x14ac:dyDescent="0.25">
      <c r="A17" t="s">
        <v>382</v>
      </c>
      <c r="B17" t="s">
        <v>376</v>
      </c>
      <c r="C17" t="s">
        <v>377</v>
      </c>
    </row>
    <row r="18" spans="1:3" x14ac:dyDescent="0.25">
      <c r="A18" t="s">
        <v>383</v>
      </c>
      <c r="B18" t="s">
        <v>376</v>
      </c>
      <c r="C18" t="s">
        <v>377</v>
      </c>
    </row>
    <row r="19" spans="1:3" x14ac:dyDescent="0.25">
      <c r="A19" t="s">
        <v>384</v>
      </c>
      <c r="B19" t="s">
        <v>385</v>
      </c>
      <c r="C19" t="s">
        <v>363</v>
      </c>
    </row>
    <row r="20" spans="1:3" x14ac:dyDescent="0.25">
      <c r="A20" t="s">
        <v>386</v>
      </c>
      <c r="B20" t="s">
        <v>376</v>
      </c>
      <c r="C20" t="s">
        <v>377</v>
      </c>
    </row>
    <row r="21" spans="1:3" x14ac:dyDescent="0.25">
      <c r="A21" t="s">
        <v>387</v>
      </c>
      <c r="B21" t="s">
        <v>376</v>
      </c>
      <c r="C21" t="s">
        <v>377</v>
      </c>
    </row>
    <row r="22" spans="1:3" x14ac:dyDescent="0.25">
      <c r="A22" t="s">
        <v>388</v>
      </c>
      <c r="B22" t="s">
        <v>376</v>
      </c>
      <c r="C22" t="s">
        <v>377</v>
      </c>
    </row>
    <row r="23" spans="1:3" x14ac:dyDescent="0.25">
      <c r="A23" t="s">
        <v>389</v>
      </c>
      <c r="B23" t="s">
        <v>376</v>
      </c>
      <c r="C23" t="s">
        <v>377</v>
      </c>
    </row>
    <row r="24" spans="1:3" x14ac:dyDescent="0.25">
      <c r="A24" t="s">
        <v>390</v>
      </c>
      <c r="B24" t="s">
        <v>376</v>
      </c>
      <c r="C24" t="s">
        <v>377</v>
      </c>
    </row>
    <row r="25" spans="1:3" x14ac:dyDescent="0.25">
      <c r="A25" t="s">
        <v>391</v>
      </c>
      <c r="B25" t="s">
        <v>376</v>
      </c>
      <c r="C25" t="s">
        <v>377</v>
      </c>
    </row>
    <row r="26" spans="1:3" x14ac:dyDescent="0.25">
      <c r="A26" t="s">
        <v>392</v>
      </c>
      <c r="B26" t="s">
        <v>376</v>
      </c>
      <c r="C26" t="s">
        <v>377</v>
      </c>
    </row>
    <row r="27" spans="1:3" x14ac:dyDescent="0.25">
      <c r="A27" t="s">
        <v>393</v>
      </c>
      <c r="B27" t="s">
        <v>376</v>
      </c>
      <c r="C27" t="s">
        <v>377</v>
      </c>
    </row>
    <row r="28" spans="1:3" x14ac:dyDescent="0.25">
      <c r="A28" t="s">
        <v>394</v>
      </c>
      <c r="B28" t="s">
        <v>395</v>
      </c>
      <c r="C28" t="s">
        <v>363</v>
      </c>
    </row>
    <row r="29" spans="1:3" x14ac:dyDescent="0.25">
      <c r="A29" t="s">
        <v>396</v>
      </c>
      <c r="B29" t="s">
        <v>395</v>
      </c>
      <c r="C29" t="s">
        <v>363</v>
      </c>
    </row>
    <row r="30" spans="1:3" x14ac:dyDescent="0.25">
      <c r="A30" t="s">
        <v>397</v>
      </c>
      <c r="B30" t="s">
        <v>395</v>
      </c>
      <c r="C30" t="s">
        <v>363</v>
      </c>
    </row>
    <row r="31" spans="1:3" x14ac:dyDescent="0.25">
      <c r="A31" t="s">
        <v>398</v>
      </c>
      <c r="B31" t="s">
        <v>395</v>
      </c>
      <c r="C31" t="s">
        <v>363</v>
      </c>
    </row>
    <row r="32" spans="1:3" x14ac:dyDescent="0.25">
      <c r="A32" t="s">
        <v>399</v>
      </c>
      <c r="B32" t="s">
        <v>395</v>
      </c>
      <c r="C32" t="s">
        <v>363</v>
      </c>
    </row>
    <row r="33" spans="1:3" x14ac:dyDescent="0.25">
      <c r="A33" t="s">
        <v>400</v>
      </c>
      <c r="B33" t="s">
        <v>376</v>
      </c>
      <c r="C33" t="s">
        <v>377</v>
      </c>
    </row>
    <row r="34" spans="1:3" x14ac:dyDescent="0.25">
      <c r="A34" t="s">
        <v>401</v>
      </c>
      <c r="B34" t="s">
        <v>395</v>
      </c>
      <c r="C34" t="s">
        <v>363</v>
      </c>
    </row>
    <row r="35" spans="1:3" x14ac:dyDescent="0.25">
      <c r="A35" t="s">
        <v>402</v>
      </c>
      <c r="B35" t="s">
        <v>395</v>
      </c>
      <c r="C35" t="s">
        <v>363</v>
      </c>
    </row>
    <row r="36" spans="1:3" x14ac:dyDescent="0.25">
      <c r="A36" t="s">
        <v>403</v>
      </c>
      <c r="B36" t="s">
        <v>395</v>
      </c>
      <c r="C36" t="s">
        <v>363</v>
      </c>
    </row>
    <row r="37" spans="1:3" x14ac:dyDescent="0.25">
      <c r="A37" t="s">
        <v>404</v>
      </c>
      <c r="B37" t="s">
        <v>395</v>
      </c>
      <c r="C37" t="s">
        <v>363</v>
      </c>
    </row>
    <row r="38" spans="1:3" x14ac:dyDescent="0.25">
      <c r="A38" t="s">
        <v>405</v>
      </c>
      <c r="B38" t="s">
        <v>395</v>
      </c>
      <c r="C38" t="s">
        <v>363</v>
      </c>
    </row>
    <row r="39" spans="1:3" x14ac:dyDescent="0.25">
      <c r="A39" t="s">
        <v>406</v>
      </c>
      <c r="B39" t="s">
        <v>376</v>
      </c>
      <c r="C39" t="s">
        <v>377</v>
      </c>
    </row>
    <row r="40" spans="1:3" x14ac:dyDescent="0.25">
      <c r="A40" t="s">
        <v>407</v>
      </c>
      <c r="B40" t="s">
        <v>376</v>
      </c>
      <c r="C40" t="s">
        <v>377</v>
      </c>
    </row>
    <row r="41" spans="1:3" x14ac:dyDescent="0.25">
      <c r="A41" t="s">
        <v>408</v>
      </c>
      <c r="B41" t="s">
        <v>376</v>
      </c>
      <c r="C41" t="s">
        <v>377</v>
      </c>
    </row>
    <row r="42" spans="1:3" x14ac:dyDescent="0.25">
      <c r="A42" t="s">
        <v>409</v>
      </c>
      <c r="B42" t="s">
        <v>376</v>
      </c>
      <c r="C42" t="s">
        <v>377</v>
      </c>
    </row>
    <row r="43" spans="1:3" x14ac:dyDescent="0.25">
      <c r="A43" t="s">
        <v>410</v>
      </c>
      <c r="B43" t="s">
        <v>376</v>
      </c>
      <c r="C43" t="s">
        <v>377</v>
      </c>
    </row>
    <row r="44" spans="1:3" x14ac:dyDescent="0.25">
      <c r="A44" t="s">
        <v>411</v>
      </c>
      <c r="B44" t="s">
        <v>412</v>
      </c>
      <c r="C44" t="s">
        <v>363</v>
      </c>
    </row>
    <row r="45" spans="1:3" x14ac:dyDescent="0.25">
      <c r="A45" t="s">
        <v>413</v>
      </c>
      <c r="B45" t="s">
        <v>412</v>
      </c>
      <c r="C45" t="s">
        <v>363</v>
      </c>
    </row>
    <row r="46" spans="1:3" x14ac:dyDescent="0.25">
      <c r="A46" t="s">
        <v>414</v>
      </c>
      <c r="B46" t="s">
        <v>415</v>
      </c>
      <c r="C46" t="s">
        <v>363</v>
      </c>
    </row>
    <row r="47" spans="1:3" x14ac:dyDescent="0.25">
      <c r="A47" t="s">
        <v>416</v>
      </c>
      <c r="B47" t="s">
        <v>417</v>
      </c>
      <c r="C47" t="s">
        <v>363</v>
      </c>
    </row>
    <row r="48" spans="1:3" x14ac:dyDescent="0.25">
      <c r="A48" t="s">
        <v>418</v>
      </c>
      <c r="B48" t="s">
        <v>419</v>
      </c>
      <c r="C48" t="s">
        <v>363</v>
      </c>
    </row>
    <row r="49" spans="1:3" x14ac:dyDescent="0.25">
      <c r="A49" t="s">
        <v>420</v>
      </c>
      <c r="B49" t="s">
        <v>376</v>
      </c>
      <c r="C49" t="s">
        <v>377</v>
      </c>
    </row>
    <row r="50" spans="1:3" x14ac:dyDescent="0.25">
      <c r="A50" t="s">
        <v>421</v>
      </c>
      <c r="B50" t="s">
        <v>376</v>
      </c>
      <c r="C50" t="s">
        <v>377</v>
      </c>
    </row>
    <row r="51" spans="1:3" x14ac:dyDescent="0.25">
      <c r="A51" t="s">
        <v>422</v>
      </c>
      <c r="B51" t="s">
        <v>376</v>
      </c>
      <c r="C51" t="s">
        <v>377</v>
      </c>
    </row>
    <row r="52" spans="1:3" x14ac:dyDescent="0.25">
      <c r="A52" t="s">
        <v>423</v>
      </c>
      <c r="B52" t="s">
        <v>424</v>
      </c>
      <c r="C52" t="s">
        <v>363</v>
      </c>
    </row>
    <row r="53" spans="1:3" x14ac:dyDescent="0.25">
      <c r="A53" t="s">
        <v>425</v>
      </c>
      <c r="B53" t="s">
        <v>376</v>
      </c>
      <c r="C53" t="s">
        <v>377</v>
      </c>
    </row>
    <row r="54" spans="1:3" x14ac:dyDescent="0.25">
      <c r="A54" t="s">
        <v>426</v>
      </c>
      <c r="B54" t="s">
        <v>376</v>
      </c>
      <c r="C54" t="s">
        <v>377</v>
      </c>
    </row>
    <row r="55" spans="1:3" x14ac:dyDescent="0.25">
      <c r="A55" t="s">
        <v>427</v>
      </c>
      <c r="B55" t="s">
        <v>376</v>
      </c>
      <c r="C55" t="s">
        <v>377</v>
      </c>
    </row>
    <row r="56" spans="1:3" x14ac:dyDescent="0.25">
      <c r="A56" t="s">
        <v>428</v>
      </c>
      <c r="B56" t="s">
        <v>376</v>
      </c>
      <c r="C56" t="s">
        <v>377</v>
      </c>
    </row>
    <row r="57" spans="1:3" x14ac:dyDescent="0.25">
      <c r="A57" t="s">
        <v>429</v>
      </c>
      <c r="B57" t="s">
        <v>376</v>
      </c>
      <c r="C57" t="s">
        <v>377</v>
      </c>
    </row>
    <row r="58" spans="1:3" x14ac:dyDescent="0.25">
      <c r="A58" t="s">
        <v>430</v>
      </c>
      <c r="B58" t="s">
        <v>431</v>
      </c>
      <c r="C58" t="s">
        <v>363</v>
      </c>
    </row>
    <row r="59" spans="1:3" x14ac:dyDescent="0.25">
      <c r="A59" t="s">
        <v>432</v>
      </c>
      <c r="B59" t="s">
        <v>433</v>
      </c>
      <c r="C59" t="s">
        <v>363</v>
      </c>
    </row>
    <row r="60" spans="1:3" x14ac:dyDescent="0.25">
      <c r="A60" t="s">
        <v>434</v>
      </c>
      <c r="B60" t="s">
        <v>435</v>
      </c>
      <c r="C60" t="s">
        <v>363</v>
      </c>
    </row>
    <row r="61" spans="1:3" x14ac:dyDescent="0.25">
      <c r="A61" t="s">
        <v>436</v>
      </c>
      <c r="B61" t="s">
        <v>437</v>
      </c>
      <c r="C61" t="s">
        <v>363</v>
      </c>
    </row>
    <row r="62" spans="1:3" x14ac:dyDescent="0.25">
      <c r="A62" t="s">
        <v>438</v>
      </c>
      <c r="B62" t="s">
        <v>439</v>
      </c>
      <c r="C62" t="s">
        <v>363</v>
      </c>
    </row>
    <row r="63" spans="1:3" x14ac:dyDescent="0.25">
      <c r="A63" t="s">
        <v>440</v>
      </c>
      <c r="B63" t="s">
        <v>441</v>
      </c>
      <c r="C63" t="s">
        <v>363</v>
      </c>
    </row>
    <row r="64" spans="1:3" x14ac:dyDescent="0.25">
      <c r="A64" t="s">
        <v>442</v>
      </c>
      <c r="B64" t="s">
        <v>443</v>
      </c>
      <c r="C64" t="s">
        <v>363</v>
      </c>
    </row>
    <row r="65" spans="1:3" x14ac:dyDescent="0.25">
      <c r="A65" t="s">
        <v>444</v>
      </c>
      <c r="B65" t="s">
        <v>445</v>
      </c>
      <c r="C65" t="s">
        <v>363</v>
      </c>
    </row>
    <row r="66" spans="1:3" x14ac:dyDescent="0.25">
      <c r="A66" t="s">
        <v>446</v>
      </c>
      <c r="B66" t="s">
        <v>447</v>
      </c>
      <c r="C66" t="s">
        <v>363</v>
      </c>
    </row>
    <row r="67" spans="1:3" x14ac:dyDescent="0.25">
      <c r="A67" t="s">
        <v>448</v>
      </c>
      <c r="B67" t="s">
        <v>449</v>
      </c>
      <c r="C67" t="s">
        <v>363</v>
      </c>
    </row>
    <row r="68" spans="1:3" x14ac:dyDescent="0.25">
      <c r="A68" t="s">
        <v>450</v>
      </c>
      <c r="B68" t="s">
        <v>417</v>
      </c>
      <c r="C68" t="s">
        <v>363</v>
      </c>
    </row>
    <row r="69" spans="1:3" x14ac:dyDescent="0.25">
      <c r="A69" t="s">
        <v>451</v>
      </c>
      <c r="B69" t="s">
        <v>433</v>
      </c>
      <c r="C69" t="s">
        <v>363</v>
      </c>
    </row>
  </sheetData>
  <phoneticPr fontId="19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工單總覽</vt:lpstr>
      <vt:lpstr>MS Layout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BODA 工單</dc:title>
  <dc:subject>BODA 工單</dc:subject>
  <dc:creator/>
  <cp:keywords/>
  <dc:description/>
  <cp:lastModifiedBy/>
  <dcterms:created xsi:type="dcterms:W3CDTF">2026-08-28T06:02:28Z</dcterms:created>
  <dcterms:modified xsi:type="dcterms:W3CDTF">2026-08-28T06:05:03Z</dcterms:modified>
  <cp:category/>
</cp:coreProperties>
</file>