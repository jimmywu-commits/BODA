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323E981C-FD2E-4C51-A861-A6F08022C112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工單總覽" sheetId="1" r:id="rId1"/>
    <sheet name="MS Layout" sheetId="2" r:id="rId2"/>
    <sheet name="設定" sheetId="3" state="veryHidden" r:id="rId3"/>
    <sheet name="_BODA_META" sheetId="4" state="very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9" i="2" l="1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R70" i="2"/>
  <c r="N70" i="2"/>
  <c r="J70" i="2"/>
  <c r="F70" i="2"/>
  <c r="R69" i="2"/>
  <c r="N69" i="2"/>
  <c r="J69" i="2"/>
  <c r="F69" i="2"/>
  <c r="R68" i="2"/>
  <c r="N68" i="2"/>
  <c r="J68" i="2"/>
  <c r="F68" i="2"/>
  <c r="R67" i="2"/>
  <c r="N67" i="2"/>
  <c r="J67" i="2"/>
  <c r="F67" i="2"/>
  <c r="N60" i="2"/>
  <c r="J60" i="2"/>
  <c r="F60" i="2"/>
  <c r="N59" i="2"/>
  <c r="J59" i="2"/>
  <c r="F59" i="2"/>
  <c r="N58" i="2"/>
  <c r="J58" i="2"/>
  <c r="F58" i="2"/>
  <c r="J52" i="2"/>
  <c r="F52" i="2"/>
  <c r="J51" i="2"/>
  <c r="F51" i="2"/>
  <c r="J50" i="2"/>
  <c r="F50" i="2"/>
  <c r="J49" i="2"/>
  <c r="F49" i="2"/>
  <c r="N43" i="2"/>
  <c r="J43" i="2"/>
  <c r="F43" i="2"/>
  <c r="N42" i="2"/>
  <c r="J42" i="2"/>
  <c r="F42" i="2"/>
  <c r="N41" i="2"/>
  <c r="J41" i="2"/>
  <c r="F41" i="2"/>
  <c r="N40" i="2"/>
  <c r="J40" i="2"/>
  <c r="F40" i="2"/>
  <c r="J35" i="2"/>
  <c r="F35" i="2"/>
  <c r="J34" i="2"/>
  <c r="F34" i="2"/>
  <c r="J33" i="2"/>
  <c r="F33" i="2"/>
  <c r="J32" i="2"/>
  <c r="F32" i="2"/>
  <c r="J31" i="2"/>
  <c r="F31" i="2"/>
  <c r="F27" i="2"/>
  <c r="F26" i="2"/>
  <c r="F25" i="2"/>
  <c r="F24" i="2"/>
  <c r="F23" i="2"/>
  <c r="F22" i="2"/>
  <c r="F17" i="2"/>
  <c r="F16" i="2"/>
  <c r="F15" i="2"/>
  <c r="F14" i="2"/>
  <c r="F13" i="2"/>
  <c r="F7" i="2"/>
  <c r="F6" i="2"/>
  <c r="F5" i="2"/>
  <c r="F4" i="2"/>
  <c r="I30" i="1"/>
  <c r="H30" i="1"/>
  <c r="G30" i="1"/>
  <c r="F30" i="1"/>
  <c r="E30" i="1"/>
  <c r="D30" i="1"/>
  <c r="C30" i="1"/>
  <c r="B30" i="1"/>
  <c r="A30" i="1"/>
  <c r="I29" i="1"/>
  <c r="H29" i="1"/>
  <c r="G29" i="1"/>
  <c r="F29" i="1"/>
  <c r="E29" i="1"/>
  <c r="D29" i="1"/>
  <c r="C29" i="1"/>
  <c r="I5" i="1" s="1"/>
  <c r="B29" i="1"/>
  <c r="A29" i="1"/>
  <c r="I28" i="1"/>
  <c r="H28" i="1"/>
  <c r="G28" i="1"/>
  <c r="F28" i="1"/>
  <c r="E28" i="1"/>
  <c r="D28" i="1"/>
  <c r="C28" i="1"/>
  <c r="B28" i="1"/>
  <c r="A28" i="1"/>
  <c r="H27" i="1"/>
  <c r="G27" i="1"/>
  <c r="F27" i="1"/>
  <c r="E27" i="1"/>
  <c r="D27" i="1"/>
  <c r="C27" i="1"/>
  <c r="I27" i="1" s="1"/>
  <c r="B27" i="1"/>
  <c r="A27" i="1"/>
  <c r="I26" i="1"/>
  <c r="H26" i="1"/>
  <c r="G26" i="1"/>
  <c r="F26" i="1"/>
  <c r="E26" i="1"/>
  <c r="D26" i="1"/>
  <c r="C26" i="1"/>
  <c r="B26" i="1"/>
  <c r="A26" i="1"/>
  <c r="I25" i="1"/>
  <c r="H25" i="1"/>
  <c r="G25" i="1"/>
  <c r="F25" i="1"/>
  <c r="E25" i="1"/>
  <c r="D25" i="1"/>
  <c r="C25" i="1"/>
  <c r="B25" i="1"/>
  <c r="A25" i="1"/>
  <c r="I24" i="1"/>
  <c r="H24" i="1"/>
  <c r="G24" i="1"/>
  <c r="F24" i="1"/>
  <c r="E24" i="1"/>
  <c r="D24" i="1"/>
  <c r="C24" i="1"/>
  <c r="B24" i="1"/>
  <c r="A24" i="1"/>
  <c r="H23" i="1"/>
  <c r="I23" i="1" s="1"/>
  <c r="G23" i="1"/>
  <c r="F23" i="1"/>
  <c r="E23" i="1"/>
  <c r="D23" i="1"/>
  <c r="C23" i="1"/>
  <c r="B23" i="1"/>
  <c r="A23" i="1"/>
  <c r="I22" i="1"/>
  <c r="H22" i="1"/>
  <c r="G22" i="1"/>
  <c r="F22" i="1"/>
  <c r="E22" i="1"/>
  <c r="D22" i="1"/>
  <c r="C22" i="1"/>
  <c r="B22" i="1"/>
  <c r="A22" i="1"/>
  <c r="I21" i="1"/>
  <c r="H21" i="1"/>
  <c r="G21" i="1"/>
  <c r="F21" i="1"/>
  <c r="E21" i="1"/>
  <c r="D21" i="1"/>
  <c r="C21" i="1"/>
  <c r="B21" i="1"/>
  <c r="A21" i="1"/>
  <c r="H20" i="1"/>
  <c r="G20" i="1"/>
  <c r="F20" i="1"/>
  <c r="E20" i="1"/>
  <c r="D20" i="1"/>
  <c r="C20" i="1"/>
  <c r="I20" i="1" s="1"/>
  <c r="B20" i="1"/>
  <c r="A20" i="1"/>
  <c r="H19" i="1"/>
  <c r="G19" i="1"/>
  <c r="F19" i="1"/>
  <c r="E19" i="1"/>
  <c r="D19" i="1"/>
  <c r="C19" i="1"/>
  <c r="I19" i="1" s="1"/>
  <c r="B19" i="1"/>
  <c r="A19" i="1"/>
  <c r="I15" i="1"/>
  <c r="I14" i="1"/>
  <c r="I13" i="1"/>
  <c r="I12" i="1"/>
  <c r="I11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4" authorId="0" shapeId="0" xr:uid="{2D0A5B59-0012-4A2F-83CD-400707B87D93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D5" authorId="0" shapeId="0" xr:uid="{976E65E9-EC8D-4A6B-9999-059C62E7E349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6" authorId="0" shapeId="0" xr:uid="{82FE9C91-6237-48B9-9F81-7BD6D52FE8D9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7" authorId="0" shapeId="0" xr:uid="{D9617E06-486A-44CD-8221-54B0EDD24958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D9" authorId="0" shapeId="0" xr:uid="{D6A91AE6-A57A-405C-A620-48C324E5305F}">
      <text>
        <r>
          <rPr>
            <b/>
            <sz val="9"/>
            <color indexed="81"/>
            <rFont val="Tahoma"/>
            <family val="2"/>
          </rPr>
          <t xml:space="preserve">作者:
</t>
        </r>
      </text>
    </comment>
    <comment ref="D13" authorId="0" shapeId="0" xr:uid="{00000000-0006-0000-0100-000005000000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D14" authorId="0" shapeId="0" xr:uid="{00000000-0006-0000-0100-000006000000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15" authorId="0" shapeId="0" xr:uid="{00000000-0006-0000-0100-000007000000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16" authorId="0" shapeId="0" xr:uid="{00000000-0006-0000-0100-000008000000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D17" authorId="0" shapeId="0" xr:uid="{00000000-0006-0000-0100-000009000000}">
      <text>
        <r>
          <rPr>
            <sz val="11"/>
            <color theme="1"/>
            <rFont val="新細明體"/>
            <family val="2"/>
            <scheme val="minor"/>
          </rPr>
          <t>填寫規則：限5個字</t>
        </r>
      </text>
    </comment>
    <comment ref="D22" authorId="0" shapeId="0" xr:uid="{9C642714-0F4F-4F39-9F29-5ECA32887E97}">
      <text>
        <r>
          <rPr>
            <sz val="11"/>
            <color theme="1"/>
            <rFont val="新細明體"/>
            <family val="2"/>
            <scheme val="minor"/>
          </rPr>
          <t>填寫規則：限8個字</t>
        </r>
      </text>
    </comment>
    <comment ref="D23" authorId="0" shapeId="0" xr:uid="{00000000-0006-0000-0100-00000B000000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24" authorId="0" shapeId="0" xr:uid="{00000000-0006-0000-0100-00000C000000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25" authorId="0" shapeId="0" xr:uid="{00000000-0006-0000-0100-00000D000000}">
      <text>
        <r>
          <rPr>
            <sz val="11"/>
            <color theme="1"/>
            <rFont val="新細明體"/>
            <family val="2"/>
            <scheme val="minor"/>
          </rPr>
          <t>填寫規則：限4+4個字</t>
        </r>
      </text>
    </comment>
    <comment ref="D26" authorId="0" shapeId="0" xr:uid="{00000000-0006-0000-0100-00000E000000}">
      <text>
        <r>
          <rPr>
            <sz val="11"/>
            <color theme="1"/>
            <rFont val="新細明體"/>
            <family val="2"/>
            <scheme val="minor"/>
          </rPr>
          <t>填寫規則：限5個字</t>
        </r>
      </text>
    </comment>
    <comment ref="D27" authorId="0" shapeId="0" xr:uid="{00000000-0006-0000-0100-00000F000000}">
      <text>
        <r>
          <rPr>
            <sz val="11"/>
            <color theme="1"/>
            <rFont val="新細明體"/>
            <family val="2"/>
            <scheme val="minor"/>
          </rPr>
          <t>填寫規則：限3個字</t>
        </r>
      </text>
    </comment>
    <comment ref="D31" authorId="0" shapeId="0" xr:uid="{00000000-0006-0000-0100-000010000000}">
      <text>
        <r>
          <rPr>
            <sz val="11"/>
            <color theme="1"/>
            <rFont val="新細明體"/>
            <family val="2"/>
            <scheme val="minor"/>
          </rPr>
          <t>填寫規則：促標6個字內</t>
        </r>
      </text>
    </comment>
    <comment ref="H31" authorId="0" shapeId="0" xr:uid="{00000000-0006-0000-0100-000011000000}">
      <text>
        <r>
          <rPr>
            <sz val="11"/>
            <color theme="1"/>
            <rFont val="新細明體"/>
            <family val="2"/>
            <scheme val="minor"/>
          </rPr>
          <t>填寫規則：促標6個字內</t>
        </r>
      </text>
    </comment>
    <comment ref="D32" authorId="0" shapeId="0" xr:uid="{00000000-0006-0000-0100-000012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H32" authorId="0" shapeId="0" xr:uid="{00000000-0006-0000-0100-000013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33" authorId="0" shapeId="0" xr:uid="{00000000-0006-0000-0100-000014000000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H33" authorId="0" shapeId="0" xr:uid="{00000000-0006-0000-0100-000015000000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D34" authorId="0" shapeId="0" xr:uid="{00000000-0006-0000-0100-000016000000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H34" authorId="0" shapeId="0" xr:uid="{00000000-0006-0000-0100-000017000000}">
      <text>
        <r>
          <rPr>
            <sz val="11"/>
            <color theme="1"/>
            <rFont val="新細明體"/>
            <family val="2"/>
            <scheme val="minor"/>
          </rPr>
          <t>填寫規則：品名一排最多8字</t>
        </r>
      </text>
    </comment>
    <comment ref="D35" authorId="0" shapeId="0" xr:uid="{00000000-0006-0000-0100-000018000000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H35" authorId="0" shapeId="0" xr:uid="{00000000-0006-0000-0100-000019000000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D40" authorId="0" shapeId="0" xr:uid="{00000000-0006-0000-0100-00001A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H40" authorId="0" shapeId="0" xr:uid="{00000000-0006-0000-0100-00001B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L40" authorId="0" shapeId="0" xr:uid="{00000000-0006-0000-0100-00001C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41" authorId="0" shapeId="0" xr:uid="{00000000-0006-0000-0100-00001D000000}">
      <text>
        <r>
          <rPr>
            <sz val="11"/>
            <color theme="1"/>
            <rFont val="新細明體"/>
            <family val="2"/>
            <scheme val="minor"/>
          </rPr>
          <t>填寫規則：(檔名)</t>
        </r>
      </text>
    </comment>
    <comment ref="H41" authorId="0" shapeId="0" xr:uid="{00000000-0006-0000-0100-00001E000000}">
      <text>
        <r>
          <rPr>
            <sz val="11"/>
            <color theme="1"/>
            <rFont val="新細明體"/>
            <family val="2"/>
            <scheme val="minor"/>
          </rPr>
          <t>填寫規則：(檔名)</t>
        </r>
      </text>
    </comment>
    <comment ref="L41" authorId="0" shapeId="0" xr:uid="{00000000-0006-0000-0100-00001F000000}">
      <text>
        <r>
          <rPr>
            <sz val="11"/>
            <color theme="1"/>
            <rFont val="新細明體"/>
            <family val="2"/>
            <scheme val="minor"/>
          </rPr>
          <t>填寫規則：(檔名)</t>
        </r>
      </text>
    </comment>
    <comment ref="D42" authorId="0" shapeId="0" xr:uid="{00000000-0006-0000-0100-000020000000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H42" authorId="0" shapeId="0" xr:uid="{00000000-0006-0000-0100-000021000000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L42" authorId="0" shapeId="0" xr:uid="{00000000-0006-0000-0100-000022000000}">
      <text>
        <r>
          <rPr>
            <sz val="11"/>
            <color theme="1"/>
            <rFont val="新細明體"/>
            <family val="2"/>
            <scheme val="minor"/>
          </rPr>
          <t>填寫規則：圓標05字內</t>
        </r>
      </text>
    </comment>
    <comment ref="D43" authorId="0" shapeId="0" xr:uid="{00000000-0006-0000-0100-000023000000}">
      <text>
        <r>
          <rPr>
            <sz val="11"/>
            <color theme="1"/>
            <rFont val="新細明體"/>
            <family val="2"/>
            <scheme val="minor"/>
          </rPr>
          <t>填寫規則：品名一排7字內</t>
        </r>
      </text>
    </comment>
    <comment ref="H43" authorId="0" shapeId="0" xr:uid="{00000000-0006-0000-0100-000024000000}">
      <text>
        <r>
          <rPr>
            <sz val="11"/>
            <color theme="1"/>
            <rFont val="新細明體"/>
            <family val="2"/>
            <scheme val="minor"/>
          </rPr>
          <t>填寫規則：品名一排7字內</t>
        </r>
      </text>
    </comment>
    <comment ref="L43" authorId="0" shapeId="0" xr:uid="{00000000-0006-0000-0100-000025000000}">
      <text>
        <r>
          <rPr>
            <sz val="11"/>
            <color theme="1"/>
            <rFont val="新細明體"/>
            <family val="2"/>
            <scheme val="minor"/>
          </rPr>
          <t>填寫規則：品名一排7字內</t>
        </r>
      </text>
    </comment>
    <comment ref="D49" authorId="0" shapeId="0" xr:uid="{00000000-0006-0000-0100-000026000000}">
      <text>
        <r>
          <rPr>
            <sz val="11"/>
            <color theme="1"/>
            <rFont val="新細明體"/>
            <family val="2"/>
            <scheme val="minor"/>
          </rPr>
          <t>填寫規則：促標最多8個字內</t>
        </r>
      </text>
    </comment>
    <comment ref="H49" authorId="0" shapeId="0" xr:uid="{00000000-0006-0000-0100-000027000000}">
      <text>
        <r>
          <rPr>
            <sz val="11"/>
            <color theme="1"/>
            <rFont val="新細明體"/>
            <family val="2"/>
            <scheme val="minor"/>
          </rPr>
          <t>填寫規則：促標最多8個字內</t>
        </r>
      </text>
    </comment>
    <comment ref="D50" authorId="0" shapeId="0" xr:uid="{00000000-0006-0000-0100-000028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H50" authorId="0" shapeId="0" xr:uid="{00000000-0006-0000-0100-000029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51" authorId="0" shapeId="0" xr:uid="{00000000-0006-0000-0100-00002A000000}">
      <text>
        <r>
          <rPr>
            <sz val="11"/>
            <color theme="1"/>
            <rFont val="新細明體"/>
            <family val="2"/>
            <scheme val="minor"/>
          </rPr>
          <t>填寫規則：品名最多可以放10個字</t>
        </r>
      </text>
    </comment>
    <comment ref="H51" authorId="0" shapeId="0" xr:uid="{00000000-0006-0000-0100-00002B000000}">
      <text>
        <r>
          <rPr>
            <sz val="11"/>
            <color theme="1"/>
            <rFont val="新細明體"/>
            <family val="2"/>
            <scheme val="minor"/>
          </rPr>
          <t>填寫規則：品名最多可以放10個字</t>
        </r>
      </text>
    </comment>
    <comment ref="D52" authorId="0" shapeId="0" xr:uid="{00000000-0006-0000-0100-00002C000000}">
      <text>
        <r>
          <rPr>
            <sz val="11"/>
            <color theme="1"/>
            <rFont val="新細明體"/>
            <family val="2"/>
            <scheme val="minor"/>
          </rPr>
          <t>填寫規則：特色最多放8個字</t>
        </r>
      </text>
    </comment>
    <comment ref="H52" authorId="0" shapeId="0" xr:uid="{00000000-0006-0000-0100-00002D000000}">
      <text>
        <r>
          <rPr>
            <sz val="11"/>
            <color theme="1"/>
            <rFont val="新細明體"/>
            <family val="2"/>
            <scheme val="minor"/>
          </rPr>
          <t>填寫規則：特色最多放8個字</t>
        </r>
      </text>
    </comment>
    <comment ref="D58" authorId="0" shapeId="0" xr:uid="{00000000-0006-0000-0100-00002E000000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H58" authorId="0" shapeId="0" xr:uid="{00000000-0006-0000-0100-00002F000000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L58" authorId="0" shapeId="0" xr:uid="{00000000-0006-0000-0100-000030000000}">
      <text>
        <r>
          <rPr>
            <sz val="11"/>
            <color theme="1"/>
            <rFont val="新細明體"/>
            <family val="2"/>
            <scheme val="minor"/>
          </rPr>
          <t>填寫規則：(檔名/券名)</t>
        </r>
      </text>
    </comment>
    <comment ref="D59" authorId="0" shapeId="0" xr:uid="{00000000-0006-0000-0100-000031000000}">
      <text>
        <r>
          <rPr>
            <sz val="11"/>
            <color theme="1"/>
            <rFont val="新細明體"/>
            <family val="2"/>
            <scheme val="minor"/>
          </rPr>
          <t>填寫規則：品名一排7字內</t>
        </r>
      </text>
    </comment>
    <comment ref="H59" authorId="0" shapeId="0" xr:uid="{00000000-0006-0000-0100-000032000000}">
      <text>
        <r>
          <rPr>
            <sz val="11"/>
            <color theme="1"/>
            <rFont val="新細明體"/>
            <family val="2"/>
            <scheme val="minor"/>
          </rPr>
          <t>填寫規則：品名一排7字內</t>
        </r>
      </text>
    </comment>
    <comment ref="L59" authorId="0" shapeId="0" xr:uid="{00000000-0006-0000-0100-000033000000}">
      <text>
        <r>
          <rPr>
            <sz val="11"/>
            <color theme="1"/>
            <rFont val="新細明體"/>
            <family val="2"/>
            <scheme val="minor"/>
          </rPr>
          <t>填寫規則：品名一排7字內</t>
        </r>
      </text>
    </comment>
    <comment ref="D60" authorId="0" shapeId="0" xr:uid="{00000000-0006-0000-0100-000034000000}">
      <text>
        <r>
          <rPr>
            <sz val="11"/>
            <color theme="1"/>
            <rFont val="新細明體"/>
            <family val="2"/>
            <scheme val="minor"/>
          </rPr>
          <t>填寫規則：逛逛去</t>
        </r>
      </text>
    </comment>
    <comment ref="H60" authorId="0" shapeId="0" xr:uid="{00000000-0006-0000-0100-000035000000}">
      <text>
        <r>
          <rPr>
            <sz val="11"/>
            <color theme="1"/>
            <rFont val="新細明體"/>
            <family val="2"/>
            <scheme val="minor"/>
          </rPr>
          <t>填寫規則：逛逛去</t>
        </r>
      </text>
    </comment>
    <comment ref="L60" authorId="0" shapeId="0" xr:uid="{00000000-0006-0000-0100-000036000000}">
      <text>
        <r>
          <rPr>
            <sz val="11"/>
            <color theme="1"/>
            <rFont val="新細明體"/>
            <family val="2"/>
            <scheme val="minor"/>
          </rPr>
          <t>填寫規則：逛逛去</t>
        </r>
      </text>
    </comment>
    <comment ref="D67" authorId="0" shapeId="0" xr:uid="{00000000-0006-0000-0100-000037000000}">
      <text>
        <r>
          <rPr>
            <sz val="11"/>
            <color theme="1"/>
            <rFont val="新細明體"/>
            <family val="2"/>
            <scheme val="minor"/>
          </rPr>
          <t>填寫規則：促標5字內</t>
        </r>
      </text>
    </comment>
    <comment ref="H67" authorId="0" shapeId="0" xr:uid="{00000000-0006-0000-0100-000038000000}">
      <text>
        <r>
          <rPr>
            <sz val="11"/>
            <color theme="1"/>
            <rFont val="新細明體"/>
            <family val="2"/>
            <scheme val="minor"/>
          </rPr>
          <t>填寫規則：促標5字內</t>
        </r>
      </text>
    </comment>
    <comment ref="L67" authorId="0" shapeId="0" xr:uid="{00000000-0006-0000-0100-000039000000}">
      <text>
        <r>
          <rPr>
            <sz val="11"/>
            <color theme="1"/>
            <rFont val="新細明體"/>
            <family val="2"/>
            <scheme val="minor"/>
          </rPr>
          <t>填寫規則：促標5字內</t>
        </r>
      </text>
    </comment>
    <comment ref="P67" authorId="0" shapeId="0" xr:uid="{00000000-0006-0000-0100-00003A000000}">
      <text>
        <r>
          <rPr>
            <sz val="11"/>
            <color theme="1"/>
            <rFont val="新細明體"/>
            <family val="2"/>
            <scheme val="minor"/>
          </rPr>
          <t>填寫規則：促標5字內</t>
        </r>
      </text>
    </comment>
    <comment ref="D68" authorId="0" shapeId="0" xr:uid="{00000000-0006-0000-0100-00003B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H68" authorId="0" shapeId="0" xr:uid="{00000000-0006-0000-0100-00003C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L68" authorId="0" shapeId="0" xr:uid="{00000000-0006-0000-0100-00003D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P68" authorId="0" shapeId="0" xr:uid="{00000000-0006-0000-0100-00003E000000}">
      <text>
        <r>
          <rPr>
            <sz val="11"/>
            <color theme="1"/>
            <rFont val="新細明體"/>
            <family val="2"/>
            <scheme val="minor"/>
          </rPr>
          <t>填寫規則：(圖檔名)</t>
        </r>
      </text>
    </comment>
    <comment ref="D69" authorId="0" shapeId="0" xr:uid="{00000000-0006-0000-0100-00003F000000}">
      <text>
        <r>
          <rPr>
            <sz val="11"/>
            <color theme="1"/>
            <rFont val="新細明體"/>
            <family val="2"/>
            <scheme val="minor"/>
          </rPr>
          <t>填寫規則：品名5字內</t>
        </r>
      </text>
    </comment>
    <comment ref="H69" authorId="0" shapeId="0" xr:uid="{00000000-0006-0000-0100-000040000000}">
      <text>
        <r>
          <rPr>
            <sz val="11"/>
            <color theme="1"/>
            <rFont val="新細明體"/>
            <family val="2"/>
            <scheme val="minor"/>
          </rPr>
          <t>填寫規則：品名5字內</t>
        </r>
      </text>
    </comment>
    <comment ref="L69" authorId="0" shapeId="0" xr:uid="{00000000-0006-0000-0100-000041000000}">
      <text>
        <r>
          <rPr>
            <sz val="11"/>
            <color theme="1"/>
            <rFont val="新細明體"/>
            <family val="2"/>
            <scheme val="minor"/>
          </rPr>
          <t>填寫規則：品名5字內</t>
        </r>
      </text>
    </comment>
    <comment ref="P69" authorId="0" shapeId="0" xr:uid="{00000000-0006-0000-0100-000042000000}">
      <text>
        <r>
          <rPr>
            <sz val="11"/>
            <color theme="1"/>
            <rFont val="新細明體"/>
            <family val="2"/>
            <scheme val="minor"/>
          </rPr>
          <t>填寫規則：品名5字內</t>
        </r>
      </text>
    </comment>
    <comment ref="D70" authorId="0" shapeId="0" xr:uid="{00000000-0006-0000-0100-000043000000}">
      <text>
        <r>
          <rPr>
            <sz val="11"/>
            <color theme="1"/>
            <rFont val="新細明體"/>
            <family val="2"/>
            <scheme val="minor"/>
          </rPr>
          <t>填寫規則：小字警語6字</t>
        </r>
      </text>
    </comment>
    <comment ref="H70" authorId="0" shapeId="0" xr:uid="{00000000-0006-0000-0100-000044000000}">
      <text>
        <r>
          <rPr>
            <sz val="11"/>
            <color theme="1"/>
            <rFont val="新細明體"/>
            <family val="2"/>
            <scheme val="minor"/>
          </rPr>
          <t>填寫規則：小字警語6字</t>
        </r>
      </text>
    </comment>
    <comment ref="L70" authorId="0" shapeId="0" xr:uid="{00000000-0006-0000-0100-000045000000}">
      <text>
        <r>
          <rPr>
            <sz val="11"/>
            <color theme="1"/>
            <rFont val="新細明體"/>
            <family val="2"/>
            <scheme val="minor"/>
          </rPr>
          <t>填寫規則：小字警語6字</t>
        </r>
      </text>
    </comment>
    <comment ref="P70" authorId="0" shapeId="0" xr:uid="{00000000-0006-0000-0100-000046000000}">
      <text>
        <r>
          <rPr>
            <sz val="11"/>
            <color theme="1"/>
            <rFont val="新細明體"/>
            <family val="2"/>
            <scheme val="minor"/>
          </rPr>
          <t>填寫規則：小字警語6字</t>
        </r>
      </text>
    </comment>
    <comment ref="D76" authorId="0" shapeId="0" xr:uid="{00000000-0006-0000-0100-000047000000}">
      <text>
        <r>
          <rPr>
            <sz val="11"/>
            <color theme="1"/>
            <rFont val="新細明體"/>
            <family val="2"/>
            <scheme val="minor"/>
          </rPr>
          <t>填寫規則：促標最多6字</t>
        </r>
      </text>
    </comment>
    <comment ref="D77" authorId="0" shapeId="0" xr:uid="{00000000-0006-0000-0100-000048000000}">
      <text>
        <r>
          <rPr>
            <sz val="11"/>
            <color theme="1"/>
            <rFont val="新細明體"/>
            <family val="2"/>
            <scheme val="minor"/>
          </rPr>
          <t>填寫規則：促標最多6字</t>
        </r>
      </text>
    </comment>
    <comment ref="D78" authorId="0" shapeId="0" xr:uid="{00000000-0006-0000-0100-000049000000}">
      <text>
        <r>
          <rPr>
            <sz val="11"/>
            <color theme="1"/>
            <rFont val="新細明體"/>
            <family val="2"/>
            <scheme val="minor"/>
          </rPr>
          <t>填寫規則：文案一排4字</t>
        </r>
      </text>
    </comment>
    <comment ref="D79" authorId="0" shapeId="0" xr:uid="{00000000-0006-0000-0100-00004A000000}">
      <text>
        <r>
          <rPr>
            <sz val="11"/>
            <color theme="1"/>
            <rFont val="新細明體"/>
            <family val="2"/>
            <scheme val="minor"/>
          </rPr>
          <t>填寫規則：文案一排4字</t>
        </r>
      </text>
    </comment>
    <comment ref="D80" authorId="0" shapeId="0" xr:uid="{00000000-0006-0000-0100-00004B000000}">
      <text>
        <r>
          <rPr>
            <sz val="11"/>
            <color theme="1"/>
            <rFont val="新細明體"/>
            <family val="2"/>
            <scheme val="minor"/>
          </rPr>
          <t>填寫規則：領券去</t>
        </r>
      </text>
    </comment>
    <comment ref="D81" authorId="0" shapeId="0" xr:uid="{00000000-0006-0000-0100-00004C000000}">
      <text>
        <r>
          <rPr>
            <sz val="11"/>
            <color theme="1"/>
            <rFont val="新細明體"/>
            <family val="2"/>
            <scheme val="minor"/>
          </rPr>
          <t>填寫規則：促標最多6字</t>
        </r>
      </text>
    </comment>
    <comment ref="D82" authorId="0" shapeId="0" xr:uid="{00000000-0006-0000-0100-00004D000000}">
      <text>
        <r>
          <rPr>
            <sz val="11"/>
            <color theme="1"/>
            <rFont val="新細明體"/>
            <family val="2"/>
            <scheme val="minor"/>
          </rPr>
          <t>填寫規則：促標最多6字</t>
        </r>
      </text>
    </comment>
    <comment ref="D83" authorId="0" shapeId="0" xr:uid="{00000000-0006-0000-0100-00004E000000}">
      <text>
        <r>
          <rPr>
            <sz val="11"/>
            <color theme="1"/>
            <rFont val="新細明體"/>
            <family val="2"/>
            <scheme val="minor"/>
          </rPr>
          <t>填寫規則：文案一排4字</t>
        </r>
      </text>
    </comment>
    <comment ref="D84" authorId="0" shapeId="0" xr:uid="{00000000-0006-0000-0100-00004F000000}">
      <text>
        <r>
          <rPr>
            <sz val="11"/>
            <color theme="1"/>
            <rFont val="新細明體"/>
            <family val="2"/>
            <scheme val="minor"/>
          </rPr>
          <t>填寫規則：文案一排4字</t>
        </r>
      </text>
    </comment>
    <comment ref="D85" authorId="0" shapeId="0" xr:uid="{00000000-0006-0000-0100-000050000000}">
      <text>
        <r>
          <rPr>
            <sz val="11"/>
            <color theme="1"/>
            <rFont val="新細明體"/>
            <family val="2"/>
            <scheme val="minor"/>
          </rPr>
          <t>填寫規則：領券去</t>
        </r>
      </text>
    </comment>
    <comment ref="D86" authorId="0" shapeId="0" xr:uid="{00000000-0006-0000-0100-000051000000}">
      <text>
        <r>
          <rPr>
            <sz val="11"/>
            <color theme="1"/>
            <rFont val="新細明體"/>
            <family val="2"/>
            <scheme val="minor"/>
          </rPr>
          <t>填寫規則：促標最多6字</t>
        </r>
      </text>
    </comment>
    <comment ref="D87" authorId="0" shapeId="0" xr:uid="{00000000-0006-0000-0100-000052000000}">
      <text>
        <r>
          <rPr>
            <sz val="11"/>
            <color theme="1"/>
            <rFont val="新細明體"/>
            <family val="2"/>
            <scheme val="minor"/>
          </rPr>
          <t>填寫規則：促標最多6字</t>
        </r>
      </text>
    </comment>
    <comment ref="D88" authorId="0" shapeId="0" xr:uid="{00000000-0006-0000-0100-000053000000}">
      <text>
        <r>
          <rPr>
            <sz val="11"/>
            <color theme="1"/>
            <rFont val="新細明體"/>
            <family val="2"/>
            <scheme val="minor"/>
          </rPr>
          <t>填寫規則：(檔名)</t>
        </r>
      </text>
    </comment>
    <comment ref="D89" authorId="0" shapeId="0" xr:uid="{00000000-0006-0000-0100-000054000000}">
      <text>
        <r>
          <rPr>
            <sz val="11"/>
            <color theme="1"/>
            <rFont val="新細明體"/>
            <family val="2"/>
            <scheme val="minor"/>
          </rPr>
          <t>填寫規則：刷卡去</t>
        </r>
      </text>
    </comment>
  </commentList>
</comments>
</file>

<file path=xl/sharedStrings.xml><?xml version="1.0" encoding="utf-8"?>
<sst xmlns="http://schemas.openxmlformats.org/spreadsheetml/2006/main" count="2183" uniqueCount="386">
  <si>
    <t>BODA 工單總覽</t>
  </si>
  <si>
    <t>包套(等級)</t>
  </si>
  <si>
    <t>B+ 基礎套裝</t>
  </si>
  <si>
    <t>MSBN 額度</t>
  </si>
  <si>
    <t>輸出時間</t>
  </si>
  <si>
    <t>負責人</t>
  </si>
  <si>
    <t/>
  </si>
  <si>
    <t>版本</t>
  </si>
  <si>
    <t>V1</t>
  </si>
  <si>
    <t>更新重點</t>
  </si>
  <si>
    <t>活動時間</t>
  </si>
  <si>
    <t>美術 Deadline</t>
  </si>
  <si>
    <t>總製作張數</t>
  </si>
  <si>
    <t>工作項目名稱</t>
  </si>
  <si>
    <t>行銷目標</t>
  </si>
  <si>
    <t>目標客群</t>
  </si>
  <si>
    <t>曝光資源共用文案與色彩</t>
  </si>
  <si>
    <t>背景顏色</t>
  </si>
  <si>
    <t>連動規則</t>
  </si>
  <si>
    <t>與「曝光資源」背景色、匯入工單統一背景及 MSBN D 系列卡片背景同步；此處記錄匯出當下色號。</t>
  </si>
  <si>
    <t>品牌名</t>
  </si>
  <si>
    <t>上限 9</t>
  </si>
  <si>
    <t>曝光資源品牌名稱；中文 1、英數 0.5。</t>
  </si>
  <si>
    <t>主標</t>
  </si>
  <si>
    <t>上限 8</t>
  </si>
  <si>
    <t>曝光資源主標；中文 1、英數 0.5。</t>
  </si>
  <si>
    <t>副標</t>
  </si>
  <si>
    <t>上限 7</t>
  </si>
  <si>
    <t>曝光資源副標；中文 1、英數 0.5。</t>
  </si>
  <si>
    <t>日期／警語</t>
  </si>
  <si>
    <t>上限 14</t>
  </si>
  <si>
    <t>日期、活動期間或警語；中文 1、英數 0.5。</t>
  </si>
  <si>
    <t>ICON 獨立文案</t>
  </si>
  <si>
    <t>上限 2</t>
  </si>
  <si>
    <t>Search ICON 文字版；也可改用 LOGO／商品圖；中文 1、英數 0.5。</t>
  </si>
  <si>
    <t>製作曝光資源（依包套／等級自動切換；預設張數可手動調整，選配預設為 0）</t>
  </si>
  <si>
    <t>版位</t>
  </si>
  <si>
    <t>類型</t>
  </si>
  <si>
    <t>張數</t>
  </si>
  <si>
    <t>尺寸</t>
  </si>
  <si>
    <t>格式</t>
  </si>
  <si>
    <t>規範字數</t>
  </si>
  <si>
    <t>提醒</t>
  </si>
  <si>
    <t>系統排版</t>
  </si>
  <si>
    <t>Check</t>
  </si>
  <si>
    <t>本次工單版配（來源：工單生成器畫布；內容欄請至 MS Layout 填寫）</t>
  </si>
  <si>
    <t>版位名稱</t>
  </si>
  <si>
    <t>Band</t>
  </si>
  <si>
    <t>位置數</t>
  </si>
  <si>
    <t>素材檔案</t>
  </si>
  <si>
    <t>字數／欄位規則</t>
  </si>
  <si>
    <t>MS Layout</t>
  </si>
  <si>
    <t>副區</t>
  </si>
  <si>
    <t>款式 1-2</t>
  </si>
  <si>
    <t>副區-A-1-2.jpg</t>
  </si>
  <si>
    <t>限8個字；(檔名/券名)</t>
  </si>
  <si>
    <t>綠色欄位可填；固定欄位已鎖</t>
  </si>
  <si>
    <t>第 3 列</t>
  </si>
  <si>
    <t>待填</t>
  </si>
  <si>
    <t>款式 2-2</t>
  </si>
  <si>
    <t>副區-A-2-2.jpg</t>
  </si>
  <si>
    <t>限8個字；(檔名/券名)；限5個字</t>
  </si>
  <si>
    <t>第 12 列</t>
  </si>
  <si>
    <t>款式 4-1</t>
  </si>
  <si>
    <t>副區-A-4-1.jpg</t>
  </si>
  <si>
    <t>限8個字；(檔名/券名)；限4+4個字；限5個字；限3個字</t>
  </si>
  <si>
    <t>第 21 列</t>
  </si>
  <si>
    <t>MSBN</t>
  </si>
  <si>
    <t>A-2-3</t>
  </si>
  <si>
    <t>MSBN-A-2-3.jpg</t>
  </si>
  <si>
    <t>促標6個字內；(圖檔名)；品名一排最多8字；圓標05字內</t>
  </si>
  <si>
    <t>第 30 列</t>
  </si>
  <si>
    <t>A-3-1</t>
  </si>
  <si>
    <t>MSBN-A-3-1.jpg</t>
  </si>
  <si>
    <t>(圖檔名)；(檔名)；圓標05字內；品名一排7字內</t>
  </si>
  <si>
    <t>第 39 列</t>
  </si>
  <si>
    <t>B-2-2</t>
  </si>
  <si>
    <t>MSBN-B-2-2.jpg</t>
  </si>
  <si>
    <t>促標最多8個字內；(圖檔名)；品名最多可以放10個字；特色最多放8個字</t>
  </si>
  <si>
    <t>第 48 列</t>
  </si>
  <si>
    <t>B-3-3</t>
  </si>
  <si>
    <t>MSBN-B-3-3.jpg</t>
  </si>
  <si>
    <t>(檔名/券名)；品名一排7字內；逛逛去</t>
  </si>
  <si>
    <t>第 57 列</t>
  </si>
  <si>
    <t>B-4-2</t>
  </si>
  <si>
    <t>MSBN-B-4-2.jpg</t>
  </si>
  <si>
    <t>促標5字內；(圖檔名)；品名5字內；小字警語6字</t>
  </si>
  <si>
    <t>第 66 列</t>
  </si>
  <si>
    <t>C-1-4</t>
  </si>
  <si>
    <t>MSBN-C-1-4.jpg</t>
  </si>
  <si>
    <t>促標最多6字；文案一排4字；領券去；(檔名)；刷卡去</t>
  </si>
  <si>
    <t>第 75 列</t>
  </si>
  <si>
    <t>素材名稱</t>
  </si>
  <si>
    <t>版位／規格</t>
  </si>
  <si>
    <t>Layout（綠色欄位可填；固定欄位與規則已鎖定）</t>
  </si>
  <si>
    <t>視覺參考（目前系統實際版位）</t>
  </si>
  <si>
    <t>中文 1 字、英數與半形符號 0.5 字；超過限制會阻擋輸入並標紅</t>
  </si>
  <si>
    <t>圖片僅供版配與欄位位置對照，不代表最終正式稿</t>
  </si>
  <si>
    <t>款式 1-2
A-1-2
Band 1</t>
  </si>
  <si>
    <t>單格</t>
  </si>
  <si>
    <t>—</t>
  </si>
  <si>
    <t>促標</t>
  </si>
  <si>
    <t>LOGO圖</t>
  </si>
  <si>
    <t>商品 (多圖用逗號分開)</t>
  </si>
  <si>
    <t>品名</t>
  </si>
  <si>
    <t>素材路徑：img/副區-A-1-2.jpg　｜　字數限制以各欄提示為準；綠色內容欄可編輯，欄位名、Check、固定 icon 與示意圖已鎖定。</t>
  </si>
  <si>
    <t>款式 2-2
A-2-2
Band 1</t>
  </si>
  <si>
    <t>圓標</t>
  </si>
  <si>
    <t>素材路徑：img/副區-A-2-2.jpg　｜　字數限制以各欄提示為準；綠色內容欄可編輯，欄位名、Check、固定 icon 與示意圖已鎖定。</t>
  </si>
  <si>
    <t>款式 4-1
A-4-1
Band 1</t>
  </si>
  <si>
    <t>警語</t>
  </si>
  <si>
    <t>CTA</t>
  </si>
  <si>
    <t>素材路徑：img/副區-A-4-1.jpg　｜　字數限制以各欄提示為準；綠色內容欄可編輯，欄位名、Check、固定 icon 與示意圖已鎖定。</t>
  </si>
  <si>
    <t>A-2-3
MSBN-A-2-3
Band 2</t>
  </si>
  <si>
    <t>左</t>
  </si>
  <si>
    <t>右</t>
  </si>
  <si>
    <t>素材路徑：msbn-img/MSBN-A-2-3.jpg　｜　字數限制以各欄提示為準；綠色內容欄可編輯，欄位名、Check、固定 icon 與示意圖已鎖定。</t>
  </si>
  <si>
    <t>A-3-1
MSBN-A-3-1
Band 3</t>
  </si>
  <si>
    <t>中</t>
  </si>
  <si>
    <t>贈品圖</t>
  </si>
  <si>
    <t>素材路徑：msbn-img/MSBN-A-3-1.jpg　｜　字數限制以各欄提示為準；綠色內容欄可編輯，欄位名、Check、固定 icon 與示意圖已鎖定。</t>
  </si>
  <si>
    <t>B-2-2
MSBN-B-2-2
Band 4</t>
  </si>
  <si>
    <t>特色</t>
  </si>
  <si>
    <t>素材路徑：msbn-img/MSBN-B-2-2.jpg　｜　字數限制以各欄提示為準；綠色內容欄可編輯，欄位名、Check、固定 icon 與示意圖已鎖定。</t>
  </si>
  <si>
    <t>B-3-3
MSBN-B-3-3
Band 5</t>
  </si>
  <si>
    <t>CTA (放03字)</t>
  </si>
  <si>
    <t>素材路徑：msbn-img/MSBN-B-3-3.jpg　｜　字數限制以各欄提示為準；綠色內容欄可編輯，欄位名、Check、固定 icon 與示意圖已鎖定。</t>
  </si>
  <si>
    <t>B-4-2
MSBN-B-4-2
Band 6</t>
  </si>
  <si>
    <t>中右</t>
  </si>
  <si>
    <t>中左</t>
  </si>
  <si>
    <t>商品圖</t>
  </si>
  <si>
    <t>素材路徑：msbn-img/MSBN-B-4-2.jpg　｜　字數限制以各欄提示為準；綠色內容欄可編輯，欄位名、Check、固定 icon 與示意圖已鎖定。</t>
  </si>
  <si>
    <t>C-1-4
MSBN-C-1-4
Band 7</t>
  </si>
  <si>
    <t>左右</t>
  </si>
  <si>
    <t>文案</t>
  </si>
  <si>
    <t>信用卡圖</t>
  </si>
  <si>
    <t>素材路徑：msbn-img/MSBN-C-1-4.jpg　｜　字數限制以各欄提示為準；綠色內容欄可編輯，欄位名、Check、固定 icon 與示意圖已鎖定。</t>
  </si>
  <si>
    <t>等級</t>
  </si>
  <si>
    <t>MSBN額度</t>
  </si>
  <si>
    <t>資源1</t>
  </si>
  <si>
    <t>資源2</t>
  </si>
  <si>
    <t>資源3</t>
  </si>
  <si>
    <t>資源4</t>
  </si>
  <si>
    <t>資源5</t>
  </si>
  <si>
    <t>資源6</t>
  </si>
  <si>
    <t>資源7</t>
  </si>
  <si>
    <t>資源8</t>
  </si>
  <si>
    <t>資源9</t>
  </si>
  <si>
    <t>資源10</t>
  </si>
  <si>
    <t>資源11</t>
  </si>
  <si>
    <t>資源12</t>
  </si>
  <si>
    <t>類型1</t>
  </si>
  <si>
    <t>類型2</t>
  </si>
  <si>
    <t>類型3</t>
  </si>
  <si>
    <t>類型4</t>
  </si>
  <si>
    <t>類型5</t>
  </si>
  <si>
    <t>類型6</t>
  </si>
  <si>
    <t>類型7</t>
  </si>
  <si>
    <t>類型8</t>
  </si>
  <si>
    <t>類型9</t>
  </si>
  <si>
    <t>類型10</t>
  </si>
  <si>
    <t>類型11</t>
  </si>
  <si>
    <t>類型12</t>
  </si>
  <si>
    <t>key</t>
  </si>
  <si>
    <t>顯示名稱</t>
  </si>
  <si>
    <t>可用</t>
  </si>
  <si>
    <t>A Brand star (Mega)</t>
  </si>
  <si>
    <t>DDCard</t>
  </si>
  <si>
    <t>DD Card BN (APP)</t>
  </si>
  <si>
    <t>531×792</t>
  </si>
  <si>
    <t>JPG</t>
  </si>
  <si>
    <t>品牌名≤9；主標≤8；副標≤7；日期/警語≤14</t>
  </si>
  <si>
    <t>LOGO、商品圖；CTA 依版型</t>
  </si>
  <si>
    <t>ddcard方logo／ddcard橫logo</t>
  </si>
  <si>
    <t>是</t>
  </si>
  <si>
    <t>A Brand star (Mega) 資交</t>
  </si>
  <si>
    <t>HBN</t>
  </si>
  <si>
    <t>HBN (PC)</t>
  </si>
  <si>
    <t>1200×360</t>
  </si>
  <si>
    <t>橫式或方形 LOGO 版</t>
  </si>
  <si>
    <t>HBN_橫式LOGO／HBN_方式LOGO</t>
  </si>
  <si>
    <t>A 精選套裝</t>
  </si>
  <si>
    <t>活動總覽</t>
  </si>
  <si>
    <t>依活動規格</t>
  </si>
  <si>
    <t>JPG/PNG</t>
  </si>
  <si>
    <t>依活動需求</t>
  </si>
  <si>
    <t>目前系統尚未提供可編輯版型</t>
  </si>
  <si>
    <t>尚未提供版型</t>
  </si>
  <si>
    <t>否</t>
  </si>
  <si>
    <t>A 品牌旗艦MDD</t>
  </si>
  <si>
    <t>首頁LOGO牆</t>
  </si>
  <si>
    <t>首頁 LOGO 牆</t>
  </si>
  <si>
    <t>LOGO 依活動規範</t>
  </si>
  <si>
    <t>A 品牌旗艦MDD 資交</t>
  </si>
  <si>
    <t>AR</t>
  </si>
  <si>
    <t>100×100（依規範）</t>
  </si>
  <si>
    <t>文案≤6 或 LOGO；2擇1</t>
  </si>
  <si>
    <t>B+ BOD A</t>
  </si>
  <si>
    <t>FB_Post</t>
  </si>
  <si>
    <t>AMS BN</t>
  </si>
  <si>
    <t>Coin_page</t>
  </si>
  <si>
    <t>IG</t>
  </si>
  <si>
    <t>SearchIcon</t>
  </si>
  <si>
    <t>SearchImage</t>
  </si>
  <si>
    <t>預設</t>
  </si>
  <si>
    <t>選配</t>
  </si>
  <si>
    <t>FB POST</t>
  </si>
  <si>
    <t>1200×630</t>
  </si>
  <si>
    <t>方 LOGO／橫 LOGO</t>
  </si>
  <si>
    <t>FB_POST_方LOGO／FB_POST_橫LOGO</t>
  </si>
  <si>
    <t>B+ BOD A 資交</t>
  </si>
  <si>
    <t>1077×264（依規範）</t>
  </si>
  <si>
    <t>依 AMS 規格</t>
  </si>
  <si>
    <t>B+ BOD B (Mega)</t>
  </si>
  <si>
    <t>Coin Page BN</t>
  </si>
  <si>
    <t>1200×391</t>
  </si>
  <si>
    <t>Coin_pageBN_APP方LOGO／Coin_pageBN_APP橫LOGO</t>
  </si>
  <si>
    <t>900×1600</t>
  </si>
  <si>
    <t>IG方logo排版／IG橫logo排版</t>
  </si>
  <si>
    <t>B JBP多店</t>
  </si>
  <si>
    <t>SCPN</t>
  </si>
  <si>
    <t>Search ICON</t>
  </si>
  <si>
    <t>120×120＋84×84</t>
  </si>
  <si>
    <t>PNG</t>
  </si>
  <si>
    <t>ICON 文案≤2；或 LOGO／商品圖</t>
  </si>
  <si>
    <t>120×120 建議 &lt;50KB，另輸出 84×84</t>
  </si>
  <si>
    <t>SearchICON_LOGO／PRODUCT／TEXT</t>
  </si>
  <si>
    <t>B 金牌 (Mega)</t>
  </si>
  <si>
    <t>Search Image</t>
  </si>
  <si>
    <t>1125×156</t>
  </si>
  <si>
    <t>副標≤7；LOGO 1～3 個</t>
  </si>
  <si>
    <t>依選用版型提供 1～3 個 LOGO</t>
  </si>
  <si>
    <t>Search_Image1logo／2logo／3logo</t>
  </si>
  <si>
    <t>SCBN／SCPN</t>
  </si>
  <si>
    <t>1200×200</t>
  </si>
  <si>
    <t>品牌名≤9；副標≤7；CTA</t>
  </si>
  <si>
    <t>商城橫幅</t>
  </si>
  <si>
    <t>SCBN_APP</t>
  </si>
  <si>
    <t>BODA_WORKORDER_V2</t>
  </si>
  <si>
    <t>kind</t>
  </si>
  <si>
    <t>sourceKey</t>
  </si>
  <si>
    <t>band</t>
  </si>
  <si>
    <t>order</t>
  </si>
  <si>
    <t>family</t>
  </si>
  <si>
    <t>variant</t>
  </si>
  <si>
    <t>combo</t>
  </si>
  <si>
    <t>msbnFile</t>
  </si>
  <si>
    <t>position</t>
  </si>
  <si>
    <t>label</t>
  </si>
  <si>
    <t>address</t>
  </si>
  <si>
    <t>header</t>
  </si>
  <si>
    <t>file</t>
  </si>
  <si>
    <t>locked</t>
  </si>
  <si>
    <t>hint</t>
  </si>
  <si>
    <t>subarea</t>
  </si>
  <si>
    <t>top:0</t>
  </si>
  <si>
    <t>A</t>
  </si>
  <si>
    <t>D4</t>
  </si>
  <si>
    <t>限8個字</t>
  </si>
  <si>
    <t>D5</t>
  </si>
  <si>
    <t>(檔名/券名)</t>
  </si>
  <si>
    <t>商品</t>
  </si>
  <si>
    <t>D6</t>
  </si>
  <si>
    <t>D7</t>
  </si>
  <si>
    <t>top:1</t>
  </si>
  <si>
    <t>D13</t>
  </si>
  <si>
    <t>D14</t>
  </si>
  <si>
    <t>D15</t>
  </si>
  <si>
    <t>D16</t>
  </si>
  <si>
    <t>D17</t>
  </si>
  <si>
    <t>限5個字</t>
  </si>
  <si>
    <t>top:2</t>
  </si>
  <si>
    <t>D22</t>
  </si>
  <si>
    <t>D23</t>
  </si>
  <si>
    <t>D24</t>
  </si>
  <si>
    <t>D25</t>
  </si>
  <si>
    <t>限4+4個字</t>
  </si>
  <si>
    <t>D26</t>
  </si>
  <si>
    <t>D27</t>
  </si>
  <si>
    <t>限3個字</t>
  </si>
  <si>
    <t>msbn</t>
  </si>
  <si>
    <t>msbn:0</t>
  </si>
  <si>
    <t>D31</t>
  </si>
  <si>
    <t>促標6個字內</t>
  </si>
  <si>
    <t>D32</t>
  </si>
  <si>
    <t>(圖檔名)</t>
  </si>
  <si>
    <t>D33</t>
  </si>
  <si>
    <t>品名一排最多8字</t>
  </si>
  <si>
    <t>D34</t>
  </si>
  <si>
    <t>D35</t>
  </si>
  <si>
    <t>圓標05字內</t>
  </si>
  <si>
    <t>H31</t>
  </si>
  <si>
    <t>H32</t>
  </si>
  <si>
    <t>H33</t>
  </si>
  <si>
    <t>H34</t>
  </si>
  <si>
    <t>H35</t>
  </si>
  <si>
    <t>msbn:1</t>
  </si>
  <si>
    <t>D40</t>
  </si>
  <si>
    <t>D41</t>
  </si>
  <si>
    <t>(檔名)</t>
  </si>
  <si>
    <t>D42</t>
  </si>
  <si>
    <t>D43</t>
  </si>
  <si>
    <t>品名一排7字內</t>
  </si>
  <si>
    <t>H40</t>
  </si>
  <si>
    <t>H41</t>
  </si>
  <si>
    <t>H42</t>
  </si>
  <si>
    <t>H43</t>
  </si>
  <si>
    <t>L40</t>
  </si>
  <si>
    <t>L41</t>
  </si>
  <si>
    <t>L42</t>
  </si>
  <si>
    <t>L43</t>
  </si>
  <si>
    <t>msbn:2</t>
  </si>
  <si>
    <t>D49</t>
  </si>
  <si>
    <t>促標最多8個字內</t>
  </si>
  <si>
    <t>D50</t>
  </si>
  <si>
    <t>D51</t>
  </si>
  <si>
    <t>品名最多可以放10個字</t>
  </si>
  <si>
    <t>D52</t>
  </si>
  <si>
    <t>特色最多放8個字</t>
  </si>
  <si>
    <t>H49</t>
  </si>
  <si>
    <t>H50</t>
  </si>
  <si>
    <t>H51</t>
  </si>
  <si>
    <t>H52</t>
  </si>
  <si>
    <t>msbn:3</t>
  </si>
  <si>
    <t>D58</t>
  </si>
  <si>
    <t>D59</t>
  </si>
  <si>
    <t>D60</t>
  </si>
  <si>
    <t>逛逛去</t>
  </si>
  <si>
    <t>H58</t>
  </si>
  <si>
    <t>H59</t>
  </si>
  <si>
    <t>H60</t>
  </si>
  <si>
    <t>L58</t>
  </si>
  <si>
    <t>L59</t>
  </si>
  <si>
    <t>L60</t>
  </si>
  <si>
    <t>msbn:4</t>
  </si>
  <si>
    <t>D67</t>
  </si>
  <si>
    <t>促標5字內</t>
  </si>
  <si>
    <t>D68</t>
  </si>
  <si>
    <t>D69</t>
  </si>
  <si>
    <t>品名5字內</t>
  </si>
  <si>
    <t>D70</t>
  </si>
  <si>
    <t>小字警語6字</t>
  </si>
  <si>
    <t>H67</t>
  </si>
  <si>
    <t>H68</t>
  </si>
  <si>
    <t>H69</t>
  </si>
  <si>
    <t>H70</t>
  </si>
  <si>
    <t>L67</t>
  </si>
  <si>
    <t>L68</t>
  </si>
  <si>
    <t>L69</t>
  </si>
  <si>
    <t>L70</t>
  </si>
  <si>
    <t>P67</t>
  </si>
  <si>
    <t>P68</t>
  </si>
  <si>
    <t>P69</t>
  </si>
  <si>
    <t>P70</t>
  </si>
  <si>
    <t>msbn:5</t>
  </si>
  <si>
    <t>D76</t>
  </si>
  <si>
    <t>促標最多6字</t>
  </si>
  <si>
    <t>D77</t>
  </si>
  <si>
    <t>D78</t>
  </si>
  <si>
    <t>文案一排4字</t>
  </si>
  <si>
    <t>D79</t>
  </si>
  <si>
    <t>D80</t>
  </si>
  <si>
    <t>領券去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</si>
  <si>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</si>
  <si>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</si>
  <si>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</si>
  <si>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</si>
  <si>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</si>
  <si>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</si>
  <si>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</si>
  <si>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</si>
  <si>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</si>
  <si>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刷卡去</t>
  </si>
  <si>
    <t>滿$299享5折</t>
    <phoneticPr fontId="18" type="noConversion"/>
  </si>
  <si>
    <t>歡慶母親節促銷</t>
  </si>
  <si>
    <r>
      <t xml:space="preserve">3/8 </t>
    </r>
    <r>
      <rPr>
        <sz val="10"/>
        <color rgb="FF0000FF"/>
        <rFont val="微軟正黑體"/>
        <family val="2"/>
        <charset val="136"/>
      </rPr>
      <t>只限今天</t>
    </r>
    <phoneticPr fontId="18" type="noConversion"/>
  </si>
  <si>
    <t>#ff3322</t>
    <phoneticPr fontId="18" type="noConversion"/>
  </si>
  <si>
    <t>滿$299享8折</t>
    <phoneticPr fontId="18" type="noConversion"/>
  </si>
  <si>
    <t>a.jpg,b.jpg</t>
    <phoneticPr fontId="18" type="noConversion"/>
  </si>
  <si>
    <t>iphone18plus</t>
    <phoneticPr fontId="18" type="noConversion"/>
  </si>
  <si>
    <t>享5折</t>
    <phoneticPr fontId="18" type="noConversion"/>
  </si>
  <si>
    <t>2026-05-19 11 49 59-Photoroom.png</t>
    <phoneticPr fontId="18" type="noConversion"/>
  </si>
  <si>
    <t>apple.png</t>
    <phoneticPr fontId="18" type="noConversion"/>
  </si>
  <si>
    <t>POLYWELL logo new.png</t>
    <phoneticPr fontId="18" type="noConversion"/>
  </si>
  <si>
    <t>SAMPO 640X360-Photoroom.png</t>
    <phoneticPr fontId="18" type="noConversion"/>
  </si>
  <si>
    <t>iphone17.png,iPhone19 PLUS.png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</si>
</sst>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23" x14ac:knownFonts="1">
    <font>
      <sz val="11"/>
      <color theme="1"/>
      <name val="新細明體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color rgb="FF0000FF"/>
      <name val="Arial"/>
    </font>
    <font>
      <b/>
      <sz val="10"/>
      <color rgb="FF008000"/>
      <name val="Arial"/>
    </font>
    <font>
      <sz val="9"/>
      <color rgb="FF666666"/>
      <name val="Arial"/>
    </font>
    <font>
      <b/>
      <sz val="11"/>
      <color rgb="FFFFFFFF"/>
      <name val="Arial"/>
    </font>
    <font>
      <b/>
      <sz val="10"/>
      <color rgb="FF171717"/>
      <name val="Arial"/>
    </font>
    <font>
      <sz val="9"/>
      <color rgb="FF171717"/>
      <name val="Arial"/>
    </font>
    <font>
      <sz val="9"/>
      <color rgb="FF008000"/>
      <name val="Arial"/>
    </font>
    <font>
      <b/>
      <sz val="9"/>
      <color rgb="FF0000FF"/>
      <name val="Arial"/>
    </font>
    <font>
      <sz val="8.5"/>
      <color rgb="FF171717"/>
      <name val="Arial"/>
    </font>
    <font>
      <sz val="9"/>
      <color rgb="FFFFFFFF"/>
      <name val="Arial"/>
    </font>
    <font>
      <b/>
      <sz val="10"/>
      <color rgb="FF134F5C"/>
      <name val="Arial"/>
    </font>
    <font>
      <b/>
      <sz val="10"/>
      <color rgb="FF666666"/>
      <name val="Arial"/>
    </font>
    <font>
      <b/>
      <sz val="9"/>
      <color rgb="FF134F5C"/>
      <name val="Arial"/>
    </font>
    <font>
      <b/>
      <sz val="9.5"/>
      <color rgb="FF171717"/>
      <name val="Arial"/>
    </font>
    <font>
      <b/>
      <sz val="10"/>
      <color rgb="FFCC0000"/>
      <name val="Arial"/>
    </font>
    <font>
      <sz val="9"/>
      <name val="新細明體"/>
      <family val="3"/>
      <charset val="136"/>
      <scheme val="minor"/>
    </font>
    <font>
      <sz val="10"/>
      <color rgb="FF0000FF"/>
      <name val="微軟正黑體"/>
      <family val="2"/>
      <charset val="136"/>
    </font>
    <font>
      <sz val="10"/>
      <color rgb="FF0000FF"/>
      <name val="Arial"/>
      <family val="2"/>
    </font>
    <font>
      <b/>
      <sz val="10"/>
      <color rgb="FF171717"/>
      <name val="Arial"/>
      <family val="2"/>
    </font>
    <font>
      <b/>
      <sz val="9"/>
      <color indexed="81"/>
      <name val="Tahoma"/>
      <family val="2"/>
    </font>
  </fonts>
  <fills count="13">
    <fill>
      <patternFill patternType="none"/>
    </fill>
    <fill>
      <patternFill patternType="gray125"/>
    </fill>
    <fill>
      <patternFill patternType="solid">
        <fgColor rgb="FF134F5C"/>
      </patternFill>
    </fill>
    <fill>
      <patternFill patternType="solid">
        <fgColor rgb="FF45818E"/>
      </patternFill>
    </fill>
    <fill>
      <patternFill patternType="solid">
        <fgColor rgb="FFD9EAD3"/>
      </patternFill>
    </fill>
    <fill>
      <patternFill patternType="solid">
        <fgColor rgb="FFF3F3F3"/>
      </patternFill>
    </fill>
    <fill>
      <patternFill patternType="solid">
        <fgColor rgb="FFFF33DA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E599"/>
      </patternFill>
    </fill>
    <fill>
      <patternFill patternType="solid">
        <fgColor rgb="FF171717"/>
      </patternFill>
    </fill>
    <fill>
      <patternFill patternType="solid">
        <fgColor rgb="FF3C4043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176" fontId="5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 applyProtection="1">
      <alignment horizontal="center" vertical="center" wrapText="1"/>
      <protection locked="0"/>
    </xf>
    <xf numFmtId="0" fontId="8" fillId="8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0" fillId="11" borderId="1" xfId="0" applyFill="1" applyBorder="1"/>
    <xf numFmtId="0" fontId="15" fillId="8" borderId="1" xfId="0" applyFont="1" applyFill="1" applyBorder="1" applyAlignment="1">
      <alignment horizontal="left" vertical="center" wrapText="1"/>
    </xf>
    <xf numFmtId="0" fontId="0" fillId="8" borderId="1" xfId="0" applyFill="1" applyBorder="1"/>
    <xf numFmtId="0" fontId="16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1" fillId="2" borderId="0" xfId="0" applyFont="1" applyFill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left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 applyProtection="1">
      <alignment horizontal="left" vertical="center" wrapText="1"/>
      <protection locked="0"/>
    </xf>
    <xf numFmtId="0" fontId="5" fillId="7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0" fontId="7" fillId="5" borderId="0" xfId="0" applyFont="1" applyFill="1" applyAlignment="1">
      <alignment horizontal="center" vertical="center" wrapText="1"/>
    </xf>
    <xf numFmtId="0" fontId="0" fillId="5" borderId="1" xfId="0" applyFill="1" applyBorder="1"/>
    <xf numFmtId="0" fontId="17" fillId="8" borderId="0" xfId="0" applyFont="1" applyFill="1" applyAlignment="1">
      <alignment horizontal="center" vertical="center" wrapText="1"/>
    </xf>
    <xf numFmtId="0" fontId="19" fillId="4" borderId="1" xfId="0" applyFont="1" applyFill="1" applyBorder="1" applyAlignment="1" applyProtection="1">
      <alignment horizontal="left" vertical="center" wrapText="1"/>
      <protection locked="0"/>
    </xf>
    <xf numFmtId="0" fontId="20" fillId="4" borderId="1" xfId="0" applyFont="1" applyFill="1" applyBorder="1" applyAlignment="1" applyProtection="1">
      <alignment horizontal="left" vertical="center" wrapText="1"/>
      <protection locked="0"/>
    </xf>
    <xf numFmtId="0" fontId="21" fillId="6" borderId="1" xfId="0" applyFont="1" applyFill="1" applyBorder="1" applyAlignment="1" applyProtection="1">
      <alignment horizontal="left" vertical="center" wrapText="1"/>
      <protection locked="0"/>
    </xf>
  </cellXfs>
  <cellStyles count="1">
    <cellStyle name="一般" xfId="0" builtinId="0"/>
  </cellStyles>
  <dxfs count="91"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008000"/>
      </font>
      <fill>
        <patternFill patternType="solid">
          <fgColor rgb="FFD9EAD3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ont>
        <b/>
        <color rgb="FFCC0000"/>
      </font>
      <fill>
        <patternFill patternType="solid">
          <fgColor rgb="FFF4CCCC"/>
        </patternFill>
      </fill>
    </dxf>
    <dxf>
      <fill>
        <patternFill patternType="solid">
          <fgColor rgb="FFFFE599"/>
        </patternFill>
      </fill>
    </dxf>
    <dxf>
      <fill>
        <patternFill patternType="solid">
          <f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10199</xdr:colOff>
      <xdr:row>2</xdr:row>
      <xdr:rowOff>218500</xdr:rowOff>
    </xdr:from>
    <xdr:ext cx="2428875" cy="21240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11</xdr:row>
      <xdr:rowOff>218499</xdr:rowOff>
    </xdr:from>
    <xdr:ext cx="2428875" cy="21240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20</xdr:row>
      <xdr:rowOff>218499</xdr:rowOff>
    </xdr:from>
    <xdr:ext cx="2428875" cy="21240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29</xdr:row>
      <xdr:rowOff>218499</xdr:rowOff>
    </xdr:from>
    <xdr:ext cx="4762500" cy="1704975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38</xdr:row>
      <xdr:rowOff>218500</xdr:rowOff>
    </xdr:from>
    <xdr:ext cx="4762500" cy="1704975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47</xdr:row>
      <xdr:rowOff>218500</xdr:rowOff>
    </xdr:from>
    <xdr:ext cx="4762500" cy="1590675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56</xdr:row>
      <xdr:rowOff>218500</xdr:rowOff>
    </xdr:from>
    <xdr:ext cx="4762500" cy="1590675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65</xdr:row>
      <xdr:rowOff>218500</xdr:rowOff>
    </xdr:from>
    <xdr:ext cx="4762500" cy="1590675"/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19</xdr:col>
      <xdr:colOff>10199</xdr:colOff>
      <xdr:row>74</xdr:row>
      <xdr:rowOff>218500</xdr:rowOff>
    </xdr:from>
    <xdr:ext cx="4762500" cy="1590675"/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5818E"/>
    <pageSetUpPr fitToPage="1"/>
  </sheetPr>
  <dimension ref="A1:I43"/>
  <sheetViews>
    <sheetView showGridLines="0" workbookViewId="0">
      <pane ySplit="3" topLeftCell="A31" activePane="bottomLeft" state="frozen"/>
      <selection pane="bottomLeft" activeCell="B13" sqref="B13:D13"/>
    </sheetView>
  </sheetViews>
  <sheetFormatPr defaultRowHeight="15.75" x14ac:dyDescent="0.25"/>
  <cols>
    <col min="1" max="1" width="18" customWidth="1"/>
    <col min="2" max="2" width="14" customWidth="1"/>
    <col min="4" max="4" width="16" customWidth="1"/>
    <col min="5" max="5" width="12" customWidth="1"/>
    <col min="6" max="6" width="30" customWidth="1"/>
    <col min="7" max="7" width="38" customWidth="1"/>
    <col min="8" max="8" width="36" customWidth="1"/>
    <col min="9" max="9" width="12" customWidth="1"/>
  </cols>
  <sheetData>
    <row r="1" spans="1:9" ht="27.95" customHeight="1" x14ac:dyDescent="0.25">
      <c r="A1" s="18" t="s">
        <v>0</v>
      </c>
      <c r="B1" s="18"/>
      <c r="C1" s="18"/>
      <c r="D1" s="18"/>
      <c r="E1" s="18"/>
      <c r="F1" s="18"/>
      <c r="G1" s="18"/>
      <c r="H1" s="18"/>
      <c r="I1" s="18"/>
    </row>
    <row r="3" spans="1:9" x14ac:dyDescent="0.25">
      <c r="A3" s="1" t="s">
        <v>1</v>
      </c>
      <c r="B3" s="19" t="s">
        <v>2</v>
      </c>
      <c r="C3" s="19"/>
      <c r="D3" s="19"/>
      <c r="E3" s="1" t="s">
        <v>3</v>
      </c>
      <c r="F3" s="20">
        <f>IFERROR(VLOOKUP(B3,設定!$A$2:$B$12,2,FALSE),0)</f>
        <v>6</v>
      </c>
      <c r="G3" s="20"/>
      <c r="H3" s="1" t="s">
        <v>4</v>
      </c>
      <c r="I3" s="4">
        <v>46252.114968425929</v>
      </c>
    </row>
    <row r="4" spans="1:9" x14ac:dyDescent="0.25">
      <c r="A4" s="1" t="s">
        <v>5</v>
      </c>
      <c r="B4" s="19" t="s">
        <v>6</v>
      </c>
      <c r="C4" s="19"/>
      <c r="D4" s="19"/>
      <c r="E4" s="1" t="s">
        <v>7</v>
      </c>
      <c r="F4" s="19" t="s">
        <v>8</v>
      </c>
      <c r="G4" s="19"/>
      <c r="H4" s="1" t="s">
        <v>9</v>
      </c>
      <c r="I4" s="2" t="s">
        <v>6</v>
      </c>
    </row>
    <row r="5" spans="1:9" ht="25.5" x14ac:dyDescent="0.25">
      <c r="A5" s="1" t="s">
        <v>10</v>
      </c>
      <c r="B5" s="19" t="s">
        <v>6</v>
      </c>
      <c r="C5" s="19"/>
      <c r="D5" s="19"/>
      <c r="E5" s="1" t="s">
        <v>11</v>
      </c>
      <c r="F5" s="19" t="s">
        <v>6</v>
      </c>
      <c r="G5" s="19"/>
      <c r="H5" s="1" t="s">
        <v>12</v>
      </c>
      <c r="I5" s="3">
        <f>SUM(C19:C30)+9</f>
        <v>14</v>
      </c>
    </row>
    <row r="6" spans="1:9" x14ac:dyDescent="0.25">
      <c r="A6" s="1" t="s">
        <v>13</v>
      </c>
      <c r="B6" s="19" t="s">
        <v>6</v>
      </c>
      <c r="C6" s="19"/>
      <c r="D6" s="19"/>
      <c r="E6" s="1" t="s">
        <v>14</v>
      </c>
      <c r="F6" s="19" t="s">
        <v>6</v>
      </c>
      <c r="G6" s="19"/>
      <c r="H6" s="19"/>
      <c r="I6" s="19"/>
    </row>
    <row r="7" spans="1:9" x14ac:dyDescent="0.25">
      <c r="A7" s="1" t="s">
        <v>15</v>
      </c>
      <c r="B7" s="19" t="s">
        <v>6</v>
      </c>
      <c r="C7" s="19"/>
      <c r="D7" s="19"/>
      <c r="E7" s="19"/>
      <c r="F7" s="19"/>
      <c r="G7" s="19"/>
      <c r="H7" s="19"/>
      <c r="I7" s="19"/>
    </row>
    <row r="9" spans="1:9" x14ac:dyDescent="0.25">
      <c r="A9" s="21" t="s">
        <v>16</v>
      </c>
      <c r="B9" s="21"/>
      <c r="C9" s="21"/>
      <c r="D9" s="21"/>
      <c r="E9" s="21"/>
      <c r="F9" s="21"/>
      <c r="G9" s="21"/>
      <c r="H9" s="21"/>
      <c r="I9" s="21"/>
    </row>
    <row r="10" spans="1:9" x14ac:dyDescent="0.25">
      <c r="A10" s="1" t="s">
        <v>17</v>
      </c>
      <c r="B10" s="34" t="s">
        <v>376</v>
      </c>
      <c r="C10" s="22"/>
      <c r="D10" s="22"/>
      <c r="E10" s="1" t="s">
        <v>18</v>
      </c>
      <c r="F10" s="23" t="s">
        <v>19</v>
      </c>
      <c r="G10" s="23"/>
      <c r="H10" s="23"/>
      <c r="I10" s="23"/>
    </row>
    <row r="11" spans="1:9" x14ac:dyDescent="0.25">
      <c r="A11" s="1" t="s">
        <v>20</v>
      </c>
      <c r="B11" s="19" t="s">
        <v>6</v>
      </c>
      <c r="C11" s="19"/>
      <c r="D11" s="19"/>
      <c r="E11" s="5" t="s">
        <v>21</v>
      </c>
      <c r="F11" s="23" t="s">
        <v>22</v>
      </c>
      <c r="G11" s="23"/>
      <c r="H11" s="23"/>
      <c r="I11" s="6" t="str">
        <f>IF(B11="","",IF(LENB(B11)/2&lt;=9,"OK","超過"))</f>
        <v/>
      </c>
    </row>
    <row r="12" spans="1:9" x14ac:dyDescent="0.25">
      <c r="A12" s="1" t="s">
        <v>23</v>
      </c>
      <c r="B12" s="32" t="s">
        <v>374</v>
      </c>
      <c r="C12" s="19"/>
      <c r="D12" s="19"/>
      <c r="E12" s="5" t="s">
        <v>24</v>
      </c>
      <c r="F12" s="23" t="s">
        <v>25</v>
      </c>
      <c r="G12" s="23"/>
      <c r="H12" s="23"/>
      <c r="I12" s="6" t="str">
        <f>IF(B12="","",IF(LENB(B12)/2&lt;=8,"OK","超過"))</f>
        <v>OK</v>
      </c>
    </row>
    <row r="13" spans="1:9" x14ac:dyDescent="0.25">
      <c r="A13" s="1" t="s">
        <v>26</v>
      </c>
      <c r="B13" s="19" t="s">
        <v>373</v>
      </c>
      <c r="C13" s="19"/>
      <c r="D13" s="19"/>
      <c r="E13" s="5" t="s">
        <v>27</v>
      </c>
      <c r="F13" s="23" t="s">
        <v>28</v>
      </c>
      <c r="G13" s="23"/>
      <c r="H13" s="23"/>
      <c r="I13" s="6" t="str">
        <f>IF(B13="","",IF(LENB(B13)/2&lt;=7,"OK","超過"))</f>
        <v>OK</v>
      </c>
    </row>
    <row r="14" spans="1:9" x14ac:dyDescent="0.25">
      <c r="A14" s="1" t="s">
        <v>29</v>
      </c>
      <c r="B14" s="33" t="s">
        <v>375</v>
      </c>
      <c r="C14" s="19"/>
      <c r="D14" s="19"/>
      <c r="E14" s="5" t="s">
        <v>30</v>
      </c>
      <c r="F14" s="23" t="s">
        <v>31</v>
      </c>
      <c r="G14" s="23"/>
      <c r="H14" s="23"/>
      <c r="I14" s="6" t="str">
        <f>IF(B14="","",IF(LENB(B14)/2&lt;=14,"OK","超過"))</f>
        <v>OK</v>
      </c>
    </row>
    <row r="15" spans="1:9" x14ac:dyDescent="0.25">
      <c r="A15" s="1" t="s">
        <v>32</v>
      </c>
      <c r="B15" s="19" t="s">
        <v>6</v>
      </c>
      <c r="C15" s="19"/>
      <c r="D15" s="19"/>
      <c r="E15" s="5" t="s">
        <v>33</v>
      </c>
      <c r="F15" s="23" t="s">
        <v>34</v>
      </c>
      <c r="G15" s="23"/>
      <c r="H15" s="23"/>
      <c r="I15" s="6" t="str">
        <f>IF(B15="","",IF(LENB(B15)/2&lt;=2,"OK","超過"))</f>
        <v/>
      </c>
    </row>
    <row r="17" spans="1:9" x14ac:dyDescent="0.25">
      <c r="A17" s="21" t="s">
        <v>35</v>
      </c>
      <c r="B17" s="21"/>
      <c r="C17" s="21"/>
      <c r="D17" s="21"/>
      <c r="E17" s="21"/>
      <c r="F17" s="21"/>
      <c r="G17" s="21"/>
      <c r="H17" s="21"/>
      <c r="I17" s="21"/>
    </row>
    <row r="18" spans="1:9" ht="23.1" customHeight="1" x14ac:dyDescent="0.25">
      <c r="A18" s="1" t="s">
        <v>36</v>
      </c>
      <c r="B18" s="1" t="s">
        <v>37</v>
      </c>
      <c r="C18" s="1" t="s">
        <v>38</v>
      </c>
      <c r="D18" s="1" t="s">
        <v>39</v>
      </c>
      <c r="E18" s="1" t="s">
        <v>40</v>
      </c>
      <c r="F18" s="1" t="s">
        <v>41</v>
      </c>
      <c r="G18" s="1" t="s">
        <v>42</v>
      </c>
      <c r="H18" s="1" t="s">
        <v>43</v>
      </c>
      <c r="I18" s="1" t="s">
        <v>44</v>
      </c>
    </row>
    <row r="19" spans="1:9" ht="38.1" customHeight="1" x14ac:dyDescent="0.25">
      <c r="A19" s="7" t="str">
        <f>IFERROR(INDEX(設定!$C$2:$N$12,MATCH($B$3,設定!$A$2:$A$12,0),1),"")</f>
        <v>DDCard</v>
      </c>
      <c r="B19" s="7" t="str">
        <f>IFERROR(INDEX(設定!$O$2:$Z$12,MATCH($B$3,設定!$A$2:$A$12,0),1),"")</f>
        <v>預設</v>
      </c>
      <c r="C19" s="8">
        <f t="shared" ref="C19:C30" si="0">IF(A19="","",IF(B19="預設",1,0))</f>
        <v>1</v>
      </c>
      <c r="D19" s="9" t="str">
        <f>IF(A19="","",IFERROR(VLOOKUP(A19,設定!$AB$2:$AJ$13,4,FALSE),""))</f>
        <v>531×792</v>
      </c>
      <c r="E19" s="9" t="str">
        <f>IF(A19="","",IFERROR(VLOOKUP(A19,設定!$AB$2:$AJ$13,5,FALSE),""))</f>
        <v>JPG</v>
      </c>
      <c r="F19" s="10" t="str">
        <f>IF(A19="","",IFERROR(VLOOKUP(A19,設定!$AB$2:$AJ$13,6,FALSE),""))</f>
        <v>品牌名≤9；主標≤8；副標≤7；日期/警語≤14</v>
      </c>
      <c r="G19" s="10" t="str">
        <f>IF(A19="","",IFERROR(VLOOKUP(A19,設定!$AB$2:$AJ$13,7,FALSE),""))</f>
        <v>LOGO、商品圖；CTA 依版型</v>
      </c>
      <c r="H19" s="10" t="str">
        <f>IF(A19="","",IFERROR(VLOOKUP(A19,設定!$AB$2:$AJ$13,8,FALSE),"尚未提供版型"))</f>
        <v>ddcard方logo／ddcard橫logo</v>
      </c>
      <c r="I19" s="6" t="str">
        <f t="shared" ref="I19:I30" si="1">IF(A19="","",IF(C19=0,"未選",IF(H19="尚未提供版型","缺版型","待製作")))</f>
        <v>待製作</v>
      </c>
    </row>
    <row r="20" spans="1:9" ht="38.1" customHeight="1" x14ac:dyDescent="0.25">
      <c r="A20" s="7" t="str">
        <f>IFERROR(INDEX(設定!$C$2:$N$12,MATCH($B$3,設定!$A$2:$A$12,0),2),"")</f>
        <v>HBN</v>
      </c>
      <c r="B20" s="7" t="str">
        <f>IFERROR(INDEX(設定!$O$2:$Z$12,MATCH($B$3,設定!$A$2:$A$12,0),2),"")</f>
        <v>預設</v>
      </c>
      <c r="C20" s="8">
        <f t="shared" si="0"/>
        <v>1</v>
      </c>
      <c r="D20" s="9" t="str">
        <f>IF(A20="","",IFERROR(VLOOKUP(A20,設定!$AB$2:$AJ$13,4,FALSE),""))</f>
        <v>1200×360</v>
      </c>
      <c r="E20" s="9" t="str">
        <f>IF(A20="","",IFERROR(VLOOKUP(A20,設定!$AB$2:$AJ$13,5,FALSE),""))</f>
        <v>JPG</v>
      </c>
      <c r="F20" s="10" t="str">
        <f>IF(A20="","",IFERROR(VLOOKUP(A20,設定!$AB$2:$AJ$13,6,FALSE),""))</f>
        <v>品牌名≤9；主標≤8；副標≤7；日期/警語≤14</v>
      </c>
      <c r="G20" s="10" t="str">
        <f>IF(A20="","",IFERROR(VLOOKUP(A20,設定!$AB$2:$AJ$13,7,FALSE),""))</f>
        <v>橫式或方形 LOGO 版</v>
      </c>
      <c r="H20" s="10" t="str">
        <f>IF(A20="","",IFERROR(VLOOKUP(A20,設定!$AB$2:$AJ$13,8,FALSE),"尚未提供版型"))</f>
        <v>HBN_橫式LOGO／HBN_方式LOGO</v>
      </c>
      <c r="I20" s="6" t="str">
        <f t="shared" si="1"/>
        <v>待製作</v>
      </c>
    </row>
    <row r="21" spans="1:9" ht="38.1" customHeight="1" x14ac:dyDescent="0.25">
      <c r="A21" s="7" t="str">
        <f>IFERROR(INDEX(設定!$C$2:$N$12,MATCH($B$3,設定!$A$2:$A$12,0),3),"")</f>
        <v>活動總覽</v>
      </c>
      <c r="B21" s="7" t="str">
        <f>IFERROR(INDEX(設定!$O$2:$Z$12,MATCH($B$3,設定!$A$2:$A$12,0),3),"")</f>
        <v>預設</v>
      </c>
      <c r="C21" s="8">
        <f t="shared" si="0"/>
        <v>1</v>
      </c>
      <c r="D21" s="9" t="str">
        <f>IF(A21="","",IFERROR(VLOOKUP(A21,設定!$AB$2:$AJ$13,4,FALSE),""))</f>
        <v>依活動規格</v>
      </c>
      <c r="E21" s="9" t="str">
        <f>IF(A21="","",IFERROR(VLOOKUP(A21,設定!$AB$2:$AJ$13,5,FALSE),""))</f>
        <v>JPG/PNG</v>
      </c>
      <c r="F21" s="10" t="str">
        <f>IF(A21="","",IFERROR(VLOOKUP(A21,設定!$AB$2:$AJ$13,6,FALSE),""))</f>
        <v>依活動需求</v>
      </c>
      <c r="G21" s="10" t="str">
        <f>IF(A21="","",IFERROR(VLOOKUP(A21,設定!$AB$2:$AJ$13,7,FALSE),""))</f>
        <v>目前系統尚未提供可編輯版型</v>
      </c>
      <c r="H21" s="10" t="str">
        <f>IF(A21="","",IFERROR(VLOOKUP(A21,設定!$AB$2:$AJ$13,8,FALSE),"尚未提供版型"))</f>
        <v>尚未提供版型</v>
      </c>
      <c r="I21" s="6" t="str">
        <f t="shared" si="1"/>
        <v>缺版型</v>
      </c>
    </row>
    <row r="22" spans="1:9" ht="38.1" customHeight="1" x14ac:dyDescent="0.25">
      <c r="A22" s="7" t="str">
        <f>IFERROR(INDEX(設定!$C$2:$N$12,MATCH($B$3,設定!$A$2:$A$12,0),4),"")</f>
        <v>首頁LOGO牆</v>
      </c>
      <c r="B22" s="7" t="str">
        <f>IFERROR(INDEX(設定!$O$2:$Z$12,MATCH($B$3,設定!$A$2:$A$12,0),4),"")</f>
        <v>預設</v>
      </c>
      <c r="C22" s="8">
        <f t="shared" si="0"/>
        <v>1</v>
      </c>
      <c r="D22" s="9" t="str">
        <f>IF(A22="","",IFERROR(VLOOKUP(A22,設定!$AB$2:$AJ$13,4,FALSE),""))</f>
        <v>依活動規格</v>
      </c>
      <c r="E22" s="9" t="str">
        <f>IF(A22="","",IFERROR(VLOOKUP(A22,設定!$AB$2:$AJ$13,5,FALSE),""))</f>
        <v>JPG/PNG</v>
      </c>
      <c r="F22" s="10" t="str">
        <f>IF(A22="","",IFERROR(VLOOKUP(A22,設定!$AB$2:$AJ$13,6,FALSE),""))</f>
        <v>LOGO 依活動規範</v>
      </c>
      <c r="G22" s="10" t="str">
        <f>IF(A22="","",IFERROR(VLOOKUP(A22,設定!$AB$2:$AJ$13,7,FALSE),""))</f>
        <v>目前系統尚未提供可編輯版型</v>
      </c>
      <c r="H22" s="10" t="str">
        <f>IF(A22="","",IFERROR(VLOOKUP(A22,設定!$AB$2:$AJ$13,8,FALSE),"尚未提供版型"))</f>
        <v>尚未提供版型</v>
      </c>
      <c r="I22" s="6" t="str">
        <f t="shared" si="1"/>
        <v>缺版型</v>
      </c>
    </row>
    <row r="23" spans="1:9" ht="38.1" customHeight="1" x14ac:dyDescent="0.25">
      <c r="A23" s="7" t="str">
        <f>IFERROR(INDEX(設定!$C$2:$N$12,MATCH($B$3,設定!$A$2:$A$12,0),5),"")</f>
        <v>AR</v>
      </c>
      <c r="B23" s="7" t="str">
        <f>IFERROR(INDEX(設定!$O$2:$Z$12,MATCH($B$3,設定!$A$2:$A$12,0),5),"")</f>
        <v>預設</v>
      </c>
      <c r="C23" s="8">
        <f t="shared" si="0"/>
        <v>1</v>
      </c>
      <c r="D23" s="9" t="str">
        <f>IF(A23="","",IFERROR(VLOOKUP(A23,設定!$AB$2:$AJ$13,4,FALSE),""))</f>
        <v>100×100（依規範）</v>
      </c>
      <c r="E23" s="9" t="str">
        <f>IF(A23="","",IFERROR(VLOOKUP(A23,設定!$AB$2:$AJ$13,5,FALSE),""))</f>
        <v>JPG/PNG</v>
      </c>
      <c r="F23" s="10" t="str">
        <f>IF(A23="","",IFERROR(VLOOKUP(A23,設定!$AB$2:$AJ$13,6,FALSE),""))</f>
        <v>文案≤6 或 LOGO；2擇1</v>
      </c>
      <c r="G23" s="10" t="str">
        <f>IF(A23="","",IFERROR(VLOOKUP(A23,設定!$AB$2:$AJ$13,7,FALSE),""))</f>
        <v>目前系統尚未提供可編輯版型</v>
      </c>
      <c r="H23" s="10" t="str">
        <f>IF(A23="","",IFERROR(VLOOKUP(A23,設定!$AB$2:$AJ$13,8,FALSE),"尚未提供版型"))</f>
        <v>尚未提供版型</v>
      </c>
      <c r="I23" s="6" t="str">
        <f t="shared" si="1"/>
        <v>缺版型</v>
      </c>
    </row>
    <row r="24" spans="1:9" ht="38.1" customHeight="1" x14ac:dyDescent="0.25">
      <c r="A24" s="7" t="str">
        <f>IFERROR(INDEX(設定!$C$2:$N$12,MATCH($B$3,設定!$A$2:$A$12,0),6),"")</f>
        <v>FB_Post</v>
      </c>
      <c r="B24" s="7" t="str">
        <f>IFERROR(INDEX(設定!$O$2:$Z$12,MATCH($B$3,設定!$A$2:$A$12,0),6),"")</f>
        <v>選配</v>
      </c>
      <c r="C24" s="8">
        <f t="shared" si="0"/>
        <v>0</v>
      </c>
      <c r="D24" s="9" t="str">
        <f>IF(A24="","",IFERROR(VLOOKUP(A24,設定!$AB$2:$AJ$13,4,FALSE),""))</f>
        <v>1200×630</v>
      </c>
      <c r="E24" s="9" t="str">
        <f>IF(A24="","",IFERROR(VLOOKUP(A24,設定!$AB$2:$AJ$13,5,FALSE),""))</f>
        <v>JPG</v>
      </c>
      <c r="F24" s="10" t="str">
        <f>IF(A24="","",IFERROR(VLOOKUP(A24,設定!$AB$2:$AJ$13,6,FALSE),""))</f>
        <v>品牌名≤9；主標≤8；副標≤7；日期/警語≤14</v>
      </c>
      <c r="G24" s="10" t="str">
        <f>IF(A24="","",IFERROR(VLOOKUP(A24,設定!$AB$2:$AJ$13,7,FALSE),""))</f>
        <v>方 LOGO／橫 LOGO</v>
      </c>
      <c r="H24" s="10" t="str">
        <f>IF(A24="","",IFERROR(VLOOKUP(A24,設定!$AB$2:$AJ$13,8,FALSE),"尚未提供版型"))</f>
        <v>FB_POST_方LOGO／FB_POST_橫LOGO</v>
      </c>
      <c r="I24" s="6" t="str">
        <f t="shared" si="1"/>
        <v>未選</v>
      </c>
    </row>
    <row r="25" spans="1:9" ht="38.1" customHeight="1" x14ac:dyDescent="0.25">
      <c r="A25" s="7" t="str">
        <f>IFERROR(INDEX(設定!$C$2:$N$12,MATCH($B$3,設定!$A$2:$A$12,0),7),"")</f>
        <v>AMS BN</v>
      </c>
      <c r="B25" s="7" t="str">
        <f>IFERROR(INDEX(設定!$O$2:$Z$12,MATCH($B$3,設定!$A$2:$A$12,0),7),"")</f>
        <v>選配</v>
      </c>
      <c r="C25" s="8">
        <f t="shared" si="0"/>
        <v>0</v>
      </c>
      <c r="D25" s="9" t="str">
        <f>IF(A25="","",IFERROR(VLOOKUP(A25,設定!$AB$2:$AJ$13,4,FALSE),""))</f>
        <v>1077×264（依規範）</v>
      </c>
      <c r="E25" s="9" t="str">
        <f>IF(A25="","",IFERROR(VLOOKUP(A25,設定!$AB$2:$AJ$13,5,FALSE),""))</f>
        <v>JPG</v>
      </c>
      <c r="F25" s="10" t="str">
        <f>IF(A25="","",IFERROR(VLOOKUP(A25,設定!$AB$2:$AJ$13,6,FALSE),""))</f>
        <v>依 AMS 規格</v>
      </c>
      <c r="G25" s="10" t="str">
        <f>IF(A25="","",IFERROR(VLOOKUP(A25,設定!$AB$2:$AJ$13,7,FALSE),""))</f>
        <v>目前系統尚未提供可編輯版型</v>
      </c>
      <c r="H25" s="10" t="str">
        <f>IF(A25="","",IFERROR(VLOOKUP(A25,設定!$AB$2:$AJ$13,8,FALSE),"尚未提供版型"))</f>
        <v>尚未提供版型</v>
      </c>
      <c r="I25" s="6" t="str">
        <f t="shared" si="1"/>
        <v>未選</v>
      </c>
    </row>
    <row r="26" spans="1:9" ht="38.1" customHeight="1" x14ac:dyDescent="0.25">
      <c r="A26" s="7" t="str">
        <f>IFERROR(INDEX(設定!$C$2:$N$12,MATCH($B$3,設定!$A$2:$A$12,0),8),"")</f>
        <v>Coin_page</v>
      </c>
      <c r="B26" s="7" t="str">
        <f>IFERROR(INDEX(設定!$O$2:$Z$12,MATCH($B$3,設定!$A$2:$A$12,0),8),"")</f>
        <v>選配</v>
      </c>
      <c r="C26" s="8">
        <f t="shared" si="0"/>
        <v>0</v>
      </c>
      <c r="D26" s="9" t="str">
        <f>IF(A26="","",IFERROR(VLOOKUP(A26,設定!$AB$2:$AJ$13,4,FALSE),""))</f>
        <v>1200×391</v>
      </c>
      <c r="E26" s="9" t="str">
        <f>IF(A26="","",IFERROR(VLOOKUP(A26,設定!$AB$2:$AJ$13,5,FALSE),""))</f>
        <v>JPG</v>
      </c>
      <c r="F26" s="10" t="str">
        <f>IF(A26="","",IFERROR(VLOOKUP(A26,設定!$AB$2:$AJ$13,6,FALSE),""))</f>
        <v>品牌名≤9；主標≤8；副標≤7；日期/警語≤14</v>
      </c>
      <c r="G26" s="10" t="str">
        <f>IF(A26="","",IFERROR(VLOOKUP(A26,設定!$AB$2:$AJ$13,7,FALSE),""))</f>
        <v>方 LOGO／橫 LOGO</v>
      </c>
      <c r="H26" s="10" t="str">
        <f>IF(A26="","",IFERROR(VLOOKUP(A26,設定!$AB$2:$AJ$13,8,FALSE),"尚未提供版型"))</f>
        <v>Coin_pageBN_APP方LOGO／Coin_pageBN_APP橫LOGO</v>
      </c>
      <c r="I26" s="6" t="str">
        <f t="shared" si="1"/>
        <v>未選</v>
      </c>
    </row>
    <row r="27" spans="1:9" ht="38.1" customHeight="1" x14ac:dyDescent="0.25">
      <c r="A27" s="7" t="str">
        <f>IFERROR(INDEX(設定!$C$2:$N$12,MATCH($B$3,設定!$A$2:$A$12,0),9),"")</f>
        <v>IG</v>
      </c>
      <c r="B27" s="7" t="str">
        <f>IFERROR(INDEX(設定!$O$2:$Z$12,MATCH($B$3,設定!$A$2:$A$12,0),9),"")</f>
        <v>選配</v>
      </c>
      <c r="C27" s="8">
        <f t="shared" si="0"/>
        <v>0</v>
      </c>
      <c r="D27" s="9" t="str">
        <f>IF(A27="","",IFERROR(VLOOKUP(A27,設定!$AB$2:$AJ$13,4,FALSE),""))</f>
        <v>900×1600</v>
      </c>
      <c r="E27" s="9" t="str">
        <f>IF(A27="","",IFERROR(VLOOKUP(A27,設定!$AB$2:$AJ$13,5,FALSE),""))</f>
        <v>JPG</v>
      </c>
      <c r="F27" s="10" t="str">
        <f>IF(A27="","",IFERROR(VLOOKUP(A27,設定!$AB$2:$AJ$13,6,FALSE),""))</f>
        <v>品牌名≤9；主標≤8；副標≤7；日期/警語≤14</v>
      </c>
      <c r="G27" s="10" t="str">
        <f>IF(A27="","",IFERROR(VLOOKUP(A27,設定!$AB$2:$AJ$13,7,FALSE),""))</f>
        <v>方 LOGO／橫 LOGO</v>
      </c>
      <c r="H27" s="10" t="str">
        <f>IF(A27="","",IFERROR(VLOOKUP(A27,設定!$AB$2:$AJ$13,8,FALSE),"尚未提供版型"))</f>
        <v>IG方logo排版／IG橫logo排版</v>
      </c>
      <c r="I27" s="6" t="str">
        <f t="shared" si="1"/>
        <v>未選</v>
      </c>
    </row>
    <row r="28" spans="1:9" ht="38.1" customHeight="1" x14ac:dyDescent="0.25">
      <c r="A28" s="7" t="str">
        <f>IFERROR(INDEX(設定!$C$2:$N$12,MATCH($B$3,設定!$A$2:$A$12,0),10),"")</f>
        <v/>
      </c>
      <c r="B28" s="7" t="str">
        <f>IFERROR(INDEX(設定!$O$2:$Z$12,MATCH($B$3,設定!$A$2:$A$12,0),10),"")</f>
        <v/>
      </c>
      <c r="C28" s="8" t="str">
        <f t="shared" si="0"/>
        <v/>
      </c>
      <c r="D28" s="9" t="str">
        <f>IF(A28="","",IFERROR(VLOOKUP(A28,設定!$AB$2:$AJ$13,4,FALSE),""))</f>
        <v/>
      </c>
      <c r="E28" s="9" t="str">
        <f>IF(A28="","",IFERROR(VLOOKUP(A28,設定!$AB$2:$AJ$13,5,FALSE),""))</f>
        <v/>
      </c>
      <c r="F28" s="10" t="str">
        <f>IF(A28="","",IFERROR(VLOOKUP(A28,設定!$AB$2:$AJ$13,6,FALSE),""))</f>
        <v/>
      </c>
      <c r="G28" s="10" t="str">
        <f>IF(A28="","",IFERROR(VLOOKUP(A28,設定!$AB$2:$AJ$13,7,FALSE),""))</f>
        <v/>
      </c>
      <c r="H28" s="10" t="str">
        <f>IF(A28="","",IFERROR(VLOOKUP(A28,設定!$AB$2:$AJ$13,8,FALSE),"尚未提供版型"))</f>
        <v/>
      </c>
      <c r="I28" s="6" t="str">
        <f t="shared" si="1"/>
        <v/>
      </c>
    </row>
    <row r="29" spans="1:9" ht="38.1" customHeight="1" x14ac:dyDescent="0.25">
      <c r="A29" s="7" t="str">
        <f>IFERROR(INDEX(設定!$C$2:$N$12,MATCH($B$3,設定!$A$2:$A$12,0),11),"")</f>
        <v/>
      </c>
      <c r="B29" s="7" t="str">
        <f>IFERROR(INDEX(設定!$O$2:$Z$12,MATCH($B$3,設定!$A$2:$A$12,0),11),"")</f>
        <v/>
      </c>
      <c r="C29" s="8" t="str">
        <f t="shared" si="0"/>
        <v/>
      </c>
      <c r="D29" s="9" t="str">
        <f>IF(A29="","",IFERROR(VLOOKUP(A29,設定!$AB$2:$AJ$13,4,FALSE),""))</f>
        <v/>
      </c>
      <c r="E29" s="9" t="str">
        <f>IF(A29="","",IFERROR(VLOOKUP(A29,設定!$AB$2:$AJ$13,5,FALSE),""))</f>
        <v/>
      </c>
      <c r="F29" s="10" t="str">
        <f>IF(A29="","",IFERROR(VLOOKUP(A29,設定!$AB$2:$AJ$13,6,FALSE),""))</f>
        <v/>
      </c>
      <c r="G29" s="10" t="str">
        <f>IF(A29="","",IFERROR(VLOOKUP(A29,設定!$AB$2:$AJ$13,7,FALSE),""))</f>
        <v/>
      </c>
      <c r="H29" s="10" t="str">
        <f>IF(A29="","",IFERROR(VLOOKUP(A29,設定!$AB$2:$AJ$13,8,FALSE),"尚未提供版型"))</f>
        <v/>
      </c>
      <c r="I29" s="6" t="str">
        <f t="shared" si="1"/>
        <v/>
      </c>
    </row>
    <row r="30" spans="1:9" ht="38.1" customHeight="1" x14ac:dyDescent="0.25">
      <c r="A30" s="7" t="str">
        <f>IFERROR(INDEX(設定!$C$2:$N$12,MATCH($B$3,設定!$A$2:$A$12,0),12),"")</f>
        <v/>
      </c>
      <c r="B30" s="7" t="str">
        <f>IFERROR(INDEX(設定!$O$2:$Z$12,MATCH($B$3,設定!$A$2:$A$12,0),12),"")</f>
        <v/>
      </c>
      <c r="C30" s="8" t="str">
        <f t="shared" si="0"/>
        <v/>
      </c>
      <c r="D30" s="9" t="str">
        <f>IF(A30="","",IFERROR(VLOOKUP(A30,設定!$AB$2:$AJ$13,4,FALSE),""))</f>
        <v/>
      </c>
      <c r="E30" s="9" t="str">
        <f>IF(A30="","",IFERROR(VLOOKUP(A30,設定!$AB$2:$AJ$13,5,FALSE),""))</f>
        <v/>
      </c>
      <c r="F30" s="10" t="str">
        <f>IF(A30="","",IFERROR(VLOOKUP(A30,設定!$AB$2:$AJ$13,6,FALSE),""))</f>
        <v/>
      </c>
      <c r="G30" s="10" t="str">
        <f>IF(A30="","",IFERROR(VLOOKUP(A30,設定!$AB$2:$AJ$13,7,FALSE),""))</f>
        <v/>
      </c>
      <c r="H30" s="10" t="str">
        <f>IF(A30="","",IFERROR(VLOOKUP(A30,設定!$AB$2:$AJ$13,8,FALSE),"尚未提供版型"))</f>
        <v/>
      </c>
      <c r="I30" s="6" t="str">
        <f t="shared" si="1"/>
        <v/>
      </c>
    </row>
    <row r="33" spans="1:9" x14ac:dyDescent="0.25">
      <c r="A33" s="21" t="s">
        <v>45</v>
      </c>
      <c r="B33" s="21"/>
      <c r="C33" s="21"/>
      <c r="D33" s="21"/>
      <c r="E33" s="21"/>
      <c r="F33" s="21"/>
      <c r="G33" s="21"/>
      <c r="H33" s="21"/>
      <c r="I33" s="21"/>
    </row>
    <row r="34" spans="1:9" x14ac:dyDescent="0.25">
      <c r="A34" s="1" t="s">
        <v>37</v>
      </c>
      <c r="B34" s="1" t="s">
        <v>46</v>
      </c>
      <c r="C34" s="1" t="s">
        <v>47</v>
      </c>
      <c r="D34" s="1" t="s">
        <v>48</v>
      </c>
      <c r="E34" s="1" t="s">
        <v>49</v>
      </c>
      <c r="F34" s="1" t="s">
        <v>50</v>
      </c>
      <c r="G34" s="1" t="s">
        <v>42</v>
      </c>
      <c r="H34" s="1" t="s">
        <v>51</v>
      </c>
      <c r="I34" s="1" t="s">
        <v>44</v>
      </c>
    </row>
    <row r="35" spans="1:9" ht="33.950000000000003" customHeight="1" x14ac:dyDescent="0.25">
      <c r="A35" s="9" t="s">
        <v>52</v>
      </c>
      <c r="B35" s="9" t="s">
        <v>53</v>
      </c>
      <c r="C35" s="6">
        <v>1</v>
      </c>
      <c r="D35" s="6">
        <v>1</v>
      </c>
      <c r="E35" s="9" t="s">
        <v>54</v>
      </c>
      <c r="F35" s="10" t="s">
        <v>55</v>
      </c>
      <c r="G35" s="10" t="s">
        <v>56</v>
      </c>
      <c r="H35" s="9" t="s">
        <v>57</v>
      </c>
      <c r="I35" s="11" t="s">
        <v>58</v>
      </c>
    </row>
    <row r="36" spans="1:9" ht="33.950000000000003" customHeight="1" x14ac:dyDescent="0.25">
      <c r="A36" s="9" t="s">
        <v>52</v>
      </c>
      <c r="B36" s="9" t="s">
        <v>59</v>
      </c>
      <c r="C36" s="6">
        <v>1</v>
      </c>
      <c r="D36" s="6">
        <v>1</v>
      </c>
      <c r="E36" s="9" t="s">
        <v>60</v>
      </c>
      <c r="F36" s="10" t="s">
        <v>61</v>
      </c>
      <c r="G36" s="10" t="s">
        <v>56</v>
      </c>
      <c r="H36" s="9" t="s">
        <v>62</v>
      </c>
      <c r="I36" s="11" t="s">
        <v>58</v>
      </c>
    </row>
    <row r="37" spans="1:9" ht="33.950000000000003" customHeight="1" x14ac:dyDescent="0.25">
      <c r="A37" s="9" t="s">
        <v>52</v>
      </c>
      <c r="B37" s="9" t="s">
        <v>63</v>
      </c>
      <c r="C37" s="6">
        <v>1</v>
      </c>
      <c r="D37" s="6">
        <v>1</v>
      </c>
      <c r="E37" s="9" t="s">
        <v>64</v>
      </c>
      <c r="F37" s="10" t="s">
        <v>65</v>
      </c>
      <c r="G37" s="10" t="s">
        <v>56</v>
      </c>
      <c r="H37" s="9" t="s">
        <v>66</v>
      </c>
      <c r="I37" s="11" t="s">
        <v>58</v>
      </c>
    </row>
    <row r="38" spans="1:9" ht="33.950000000000003" customHeight="1" x14ac:dyDescent="0.25">
      <c r="A38" s="9" t="s">
        <v>67</v>
      </c>
      <c r="B38" s="9" t="s">
        <v>68</v>
      </c>
      <c r="C38" s="6">
        <v>2</v>
      </c>
      <c r="D38" s="6">
        <v>2</v>
      </c>
      <c r="E38" s="9" t="s">
        <v>69</v>
      </c>
      <c r="F38" s="10" t="s">
        <v>70</v>
      </c>
      <c r="G38" s="10" t="s">
        <v>56</v>
      </c>
      <c r="H38" s="9" t="s">
        <v>71</v>
      </c>
      <c r="I38" s="11" t="s">
        <v>58</v>
      </c>
    </row>
    <row r="39" spans="1:9" ht="33.950000000000003" customHeight="1" x14ac:dyDescent="0.25">
      <c r="A39" s="9" t="s">
        <v>67</v>
      </c>
      <c r="B39" s="9" t="s">
        <v>72</v>
      </c>
      <c r="C39" s="6">
        <v>3</v>
      </c>
      <c r="D39" s="6">
        <v>3</v>
      </c>
      <c r="E39" s="9" t="s">
        <v>73</v>
      </c>
      <c r="F39" s="10" t="s">
        <v>74</v>
      </c>
      <c r="G39" s="10" t="s">
        <v>56</v>
      </c>
      <c r="H39" s="9" t="s">
        <v>75</v>
      </c>
      <c r="I39" s="11" t="s">
        <v>58</v>
      </c>
    </row>
    <row r="40" spans="1:9" ht="33.950000000000003" customHeight="1" x14ac:dyDescent="0.25">
      <c r="A40" s="9" t="s">
        <v>67</v>
      </c>
      <c r="B40" s="9" t="s">
        <v>76</v>
      </c>
      <c r="C40" s="6">
        <v>4</v>
      </c>
      <c r="D40" s="6">
        <v>2</v>
      </c>
      <c r="E40" s="9" t="s">
        <v>77</v>
      </c>
      <c r="F40" s="10" t="s">
        <v>78</v>
      </c>
      <c r="G40" s="10" t="s">
        <v>56</v>
      </c>
      <c r="H40" s="9" t="s">
        <v>79</v>
      </c>
      <c r="I40" s="11" t="s">
        <v>58</v>
      </c>
    </row>
    <row r="41" spans="1:9" ht="33.950000000000003" customHeight="1" x14ac:dyDescent="0.25">
      <c r="A41" s="9" t="s">
        <v>67</v>
      </c>
      <c r="B41" s="9" t="s">
        <v>80</v>
      </c>
      <c r="C41" s="6">
        <v>5</v>
      </c>
      <c r="D41" s="6">
        <v>3</v>
      </c>
      <c r="E41" s="9" t="s">
        <v>81</v>
      </c>
      <c r="F41" s="10" t="s">
        <v>82</v>
      </c>
      <c r="G41" s="10" t="s">
        <v>56</v>
      </c>
      <c r="H41" s="9" t="s">
        <v>83</v>
      </c>
      <c r="I41" s="11" t="s">
        <v>58</v>
      </c>
    </row>
    <row r="42" spans="1:9" ht="33.950000000000003" customHeight="1" x14ac:dyDescent="0.25">
      <c r="A42" s="9" t="s">
        <v>67</v>
      </c>
      <c r="B42" s="9" t="s">
        <v>84</v>
      </c>
      <c r="C42" s="6">
        <v>6</v>
      </c>
      <c r="D42" s="6">
        <v>4</v>
      </c>
      <c r="E42" s="9" t="s">
        <v>85</v>
      </c>
      <c r="F42" s="10" t="s">
        <v>86</v>
      </c>
      <c r="G42" s="10" t="s">
        <v>56</v>
      </c>
      <c r="H42" s="9" t="s">
        <v>87</v>
      </c>
      <c r="I42" s="11" t="s">
        <v>58</v>
      </c>
    </row>
    <row r="43" spans="1:9" ht="33.950000000000003" customHeight="1" x14ac:dyDescent="0.25">
      <c r="A43" s="9" t="s">
        <v>67</v>
      </c>
      <c r="B43" s="9" t="s">
        <v>88</v>
      </c>
      <c r="C43" s="6">
        <v>7</v>
      </c>
      <c r="D43" s="6">
        <v>1</v>
      </c>
      <c r="E43" s="9" t="s">
        <v>89</v>
      </c>
      <c r="F43" s="10" t="s">
        <v>90</v>
      </c>
      <c r="G43" s="10" t="s">
        <v>56</v>
      </c>
      <c r="H43" s="9" t="s">
        <v>91</v>
      </c>
      <c r="I43" s="11" t="s">
        <v>58</v>
      </c>
    </row>
  </sheetData>
  <sheetProtection sheet="1" autoFilter="0"/>
  <autoFilter ref="A18:I30" xr:uid="{00000000-0009-0000-0000-000000000000}"/>
  <mergeCells count="25">
    <mergeCell ref="B15:D15"/>
    <mergeCell ref="F15:H15"/>
    <mergeCell ref="A17:I17"/>
    <mergeCell ref="A33:I33"/>
    <mergeCell ref="B12:D12"/>
    <mergeCell ref="F12:H12"/>
    <mergeCell ref="B13:D13"/>
    <mergeCell ref="F13:H13"/>
    <mergeCell ref="B14:D14"/>
    <mergeCell ref="F14:H14"/>
    <mergeCell ref="A9:I9"/>
    <mergeCell ref="B10:D10"/>
    <mergeCell ref="F10:I10"/>
    <mergeCell ref="B11:D11"/>
    <mergeCell ref="F11:H11"/>
    <mergeCell ref="B5:D5"/>
    <mergeCell ref="F5:G5"/>
    <mergeCell ref="B6:D6"/>
    <mergeCell ref="F6:I6"/>
    <mergeCell ref="B7:I7"/>
    <mergeCell ref="A1:I1"/>
    <mergeCell ref="B3:D3"/>
    <mergeCell ref="F3:G3"/>
    <mergeCell ref="B4:D4"/>
    <mergeCell ref="F4:G4"/>
  </mergeCells>
  <phoneticPr fontId="18" type="noConversion"/>
  <conditionalFormatting sqref="A19:I30">
    <cfRule type="expression" dxfId="90" priority="228">
      <formula>$B19="預設"</formula>
    </cfRule>
    <cfRule type="expression" dxfId="89" priority="229">
      <formula>$B19="選配"</formula>
    </cfRule>
    <cfRule type="expression" dxfId="88" priority="230">
      <formula>$I19="缺版型"</formula>
    </cfRule>
  </conditionalFormatting>
  <conditionalFormatting sqref="B11">
    <cfRule type="expression" dxfId="87" priority="223">
      <formula>LENB(B11)/2&gt;9</formula>
    </cfRule>
  </conditionalFormatting>
  <conditionalFormatting sqref="B12">
    <cfRule type="expression" dxfId="86" priority="224">
      <formula>LENB(B12)/2&gt;8</formula>
    </cfRule>
  </conditionalFormatting>
  <conditionalFormatting sqref="B13">
    <cfRule type="expression" dxfId="85" priority="225">
      <formula>LENB(B13)/2&gt;7</formula>
    </cfRule>
  </conditionalFormatting>
  <conditionalFormatting sqref="B14">
    <cfRule type="expression" dxfId="84" priority="226">
      <formula>LENB(B14)/2&gt;14</formula>
    </cfRule>
  </conditionalFormatting>
  <conditionalFormatting sqref="B15">
    <cfRule type="expression" dxfId="83" priority="227">
      <formula>LENB(B15)/2&gt;2</formula>
    </cfRule>
  </conditionalFormatting>
  <dataValidations count="8">
    <dataValidation type="custom" showErrorMessage="1" errorTitle="色碼格式錯誤" error="請輸入 #RRGGBB，例如 #6bc0ec。" sqref="B10" xr:uid="{00000000-0002-0000-0000-000000000000}">
      <formula1>AND(LEFT(B10,1)="#",LEN(B10)=7)</formula1>
    </dataValidation>
    <dataValidation type="custom" allowBlank="1" showInputMessage="1" showErrorMessage="1" errorTitle="超過字數上限" error="最多 9 個字；中文算 1，英數與半形符號算 0.5。" promptTitle="字數限制：9" prompt="中文算 1，英數與半形符號算 0.5。" sqref="B11" xr:uid="{00000000-0002-0000-0000-000001000000}">
      <formula1>LENB(B11)/2&lt;=9</formula1>
    </dataValidation>
    <dataValidation type="custom" allowBlank="1" showInputMessage="1" showErrorMessage="1" errorTitle="超過字數上限" error="最多 8 個字；中文算 1，英數與半形符號算 0.5。" promptTitle="字數限制：8" prompt="中文算 1，英數與半形符號算 0.5。" sqref="B12" xr:uid="{00000000-0002-0000-0000-000002000000}">
      <formula1>LENB(B12)/2&lt;=8</formula1>
    </dataValidation>
    <dataValidation type="custom" allowBlank="1" showInputMessage="1" showErrorMessage="1" errorTitle="超過字數上限" error="最多 7 個字；中文算 1，英數與半形符號算 0.5。" promptTitle="字數限制：7" prompt="中文算 1，英數與半形符號算 0.5。" sqref="B13" xr:uid="{00000000-0002-0000-0000-000003000000}">
      <formula1>LENB(B13)/2&lt;=7</formula1>
    </dataValidation>
    <dataValidation type="custom" allowBlank="1" showInputMessage="1" showErrorMessage="1" errorTitle="超過字數上限" error="最多 14 個字；中文算 1，英數與半形符號算 0.5。" promptTitle="字數限制：14" prompt="中文算 1，英數與半形符號算 0.5。" sqref="B14" xr:uid="{00000000-0002-0000-0000-000004000000}">
      <formula1>LENB(B14)/2&lt;=14</formula1>
    </dataValidation>
    <dataValidation type="custom" allowBlank="1" showInputMessage="1" showErrorMessage="1" errorTitle="超過字數上限" error="最多 2 個字；中文算 1，英數與半形符號算 0.5。" promptTitle="字數限制：2" prompt="中文算 1，英數與半形符號算 0.5。" sqref="B15" xr:uid="{00000000-0002-0000-0000-000005000000}">
      <formula1>LENB(B15)/2&lt;=2</formula1>
    </dataValidation>
    <dataValidation type="list" showErrorMessage="1" errorTitle="請選擇系統等級" error="請使用下拉選單中的包套(等級)。" sqref="B3" xr:uid="{00000000-0002-0000-0000-000006000000}">
      <formula1>"A Brand star (Mega),A Brand star (Mega) 資交,A 精選套裝,A 品牌旗艦MDD,A 品牌旗艦MDD 資交,B+ BOD A,B+ BOD A 資交,B+ BOD B (Mega),B+ 基礎套裝,B JBP多店,B 金牌 (Mega)"</formula1>
    </dataValidation>
    <dataValidation type="whole" allowBlank="1" showErrorMessage="1" errorTitle="張數格式錯誤" error="請輸入 0～20 的整數。" sqref="C19:C30" xr:uid="{00000000-0002-0000-0000-000007000000}">
      <formula1>0</formula1>
      <formula2>20</formula2>
    </dataValidation>
  </dataValidations>
  <pageMargins left="0.25" right="0.25" top="0.4" bottom="0.4" header="0.2" footer="0.2"/>
  <pageSetup paperSize="9" fitToHeight="0" orientation="landscape"/>
  <headerFooter>
    <oddFooter>&amp;L BODA 工單&amp;C 工單總覽&amp;R 第 &amp;P / &amp;N 頁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34F5C"/>
    <pageSetUpPr fitToPage="1"/>
  </sheetPr>
  <dimension ref="A1:AG90"/>
  <sheetViews>
    <sheetView showGridLines="0" tabSelected="1" workbookViewId="0">
      <pane xSplit="2" ySplit="2" topLeftCell="C11" activePane="bottomRight" state="frozen"/>
      <selection pane="topRight"/>
      <selection pane="bottomLeft"/>
      <selection pane="bottomRight" activeCell="G23" sqref="G23"/>
    </sheetView>
  </sheetViews>
  <sheetFormatPr defaultRowHeight="15.75" x14ac:dyDescent="0.25"/>
  <cols>
    <col min="1" max="1" width="16" customWidth="1"/>
    <col min="2" max="2" width="25" customWidth="1"/>
    <col min="3" max="3" width="15" customWidth="1"/>
    <col min="4" max="5" width="12" customWidth="1"/>
    <col min="6" max="6" width="10" customWidth="1"/>
    <col min="7" max="7" width="15" customWidth="1"/>
    <col min="8" max="9" width="12" customWidth="1"/>
    <col min="10" max="10" width="10" customWidth="1"/>
    <col min="11" max="11" width="15" customWidth="1"/>
    <col min="12" max="13" width="12" customWidth="1"/>
    <col min="14" max="14" width="10" customWidth="1"/>
    <col min="15" max="15" width="15" customWidth="1"/>
    <col min="16" max="17" width="12" customWidth="1"/>
    <col min="18" max="18" width="10" customWidth="1"/>
    <col min="19" max="19" width="2.42578125" customWidth="1"/>
    <col min="20" max="33" width="6.85546875" customWidth="1"/>
  </cols>
  <sheetData>
    <row r="1" spans="1:33" ht="24" customHeight="1" x14ac:dyDescent="0.25">
      <c r="A1" s="24" t="s">
        <v>92</v>
      </c>
      <c r="B1" s="24" t="s">
        <v>93</v>
      </c>
      <c r="C1" s="24" t="s">
        <v>94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12"/>
      <c r="T1" s="24" t="s">
        <v>95</v>
      </c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spans="1:33" ht="20.100000000000001" customHeight="1" x14ac:dyDescent="0.25">
      <c r="A2" s="24"/>
      <c r="B2" s="24"/>
      <c r="C2" s="25" t="s">
        <v>96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13"/>
      <c r="T2" s="25" t="s">
        <v>97</v>
      </c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</row>
    <row r="3" spans="1:33" ht="23.1" customHeight="1" x14ac:dyDescent="0.25">
      <c r="A3" s="28" t="s">
        <v>52</v>
      </c>
      <c r="B3" s="29" t="s">
        <v>98</v>
      </c>
      <c r="C3" s="26" t="s">
        <v>99</v>
      </c>
      <c r="D3" s="26"/>
      <c r="E3" s="26"/>
      <c r="F3" s="26"/>
      <c r="G3" s="27" t="s">
        <v>100</v>
      </c>
      <c r="H3" s="27"/>
      <c r="I3" s="27"/>
      <c r="J3" s="27"/>
      <c r="K3" s="27" t="s">
        <v>100</v>
      </c>
      <c r="L3" s="27"/>
      <c r="M3" s="27"/>
      <c r="N3" s="27"/>
      <c r="O3" s="27" t="s">
        <v>100</v>
      </c>
      <c r="P3" s="27"/>
      <c r="Q3" s="27"/>
      <c r="R3" s="27"/>
      <c r="T3" s="14" t="s">
        <v>53</v>
      </c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</row>
    <row r="4" spans="1:33" ht="21.95" customHeight="1" x14ac:dyDescent="0.25">
      <c r="A4" s="28"/>
      <c r="B4" s="29"/>
      <c r="C4" s="16" t="s">
        <v>101</v>
      </c>
      <c r="D4" s="19" t="s">
        <v>377</v>
      </c>
      <c r="E4" s="19"/>
      <c r="F4" s="6" t="str">
        <f>IF(D4="","",IF(LENB(D4)/2&lt;=8,"OK","超過"))</f>
        <v>OK</v>
      </c>
      <c r="G4" s="17" t="s">
        <v>6</v>
      </c>
      <c r="H4" s="30" t="s">
        <v>6</v>
      </c>
      <c r="I4" s="30"/>
      <c r="J4" s="17" t="s">
        <v>6</v>
      </c>
      <c r="K4" s="17" t="s">
        <v>6</v>
      </c>
      <c r="L4" s="30" t="s">
        <v>6</v>
      </c>
      <c r="M4" s="30"/>
      <c r="N4" s="17" t="s">
        <v>6</v>
      </c>
      <c r="O4" s="17" t="s">
        <v>6</v>
      </c>
      <c r="P4" s="30" t="s">
        <v>6</v>
      </c>
      <c r="Q4" s="30"/>
      <c r="R4" s="17" t="s">
        <v>6</v>
      </c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</row>
    <row r="5" spans="1:33" ht="21.95" customHeight="1" x14ac:dyDescent="0.25">
      <c r="A5" s="28"/>
      <c r="B5" s="29"/>
      <c r="C5" s="16" t="s">
        <v>102</v>
      </c>
      <c r="D5" s="33" t="s">
        <v>382</v>
      </c>
      <c r="E5" s="19"/>
      <c r="F5" s="6" t="str">
        <f>IF(D5="","待填","OK")</f>
        <v>OK</v>
      </c>
      <c r="G5" s="17" t="s">
        <v>6</v>
      </c>
      <c r="H5" s="30" t="s">
        <v>6</v>
      </c>
      <c r="I5" s="30"/>
      <c r="J5" s="17" t="s">
        <v>6</v>
      </c>
      <c r="K5" s="17" t="s">
        <v>6</v>
      </c>
      <c r="L5" s="30" t="s">
        <v>6</v>
      </c>
      <c r="M5" s="30"/>
      <c r="N5" s="17" t="s">
        <v>6</v>
      </c>
      <c r="O5" s="17" t="s">
        <v>6</v>
      </c>
      <c r="P5" s="30" t="s">
        <v>6</v>
      </c>
      <c r="Q5" s="30"/>
      <c r="R5" s="17" t="s">
        <v>6</v>
      </c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</row>
    <row r="6" spans="1:33" ht="21.95" customHeight="1" x14ac:dyDescent="0.25">
      <c r="A6" s="28"/>
      <c r="B6" s="29"/>
      <c r="C6" s="16" t="s">
        <v>103</v>
      </c>
      <c r="D6" s="33" t="s">
        <v>381</v>
      </c>
      <c r="E6" s="19"/>
      <c r="F6" s="6" t="str">
        <f>IF(D6="","待填","OK")</f>
        <v>OK</v>
      </c>
      <c r="G6" s="17" t="s">
        <v>6</v>
      </c>
      <c r="H6" s="30" t="s">
        <v>6</v>
      </c>
      <c r="I6" s="30"/>
      <c r="J6" s="17" t="s">
        <v>6</v>
      </c>
      <c r="K6" s="17" t="s">
        <v>6</v>
      </c>
      <c r="L6" s="30" t="s">
        <v>6</v>
      </c>
      <c r="M6" s="30"/>
      <c r="N6" s="17" t="s">
        <v>6</v>
      </c>
      <c r="O6" s="17" t="s">
        <v>6</v>
      </c>
      <c r="P6" s="30" t="s">
        <v>6</v>
      </c>
      <c r="Q6" s="30"/>
      <c r="R6" s="17" t="s">
        <v>6</v>
      </c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</row>
    <row r="7" spans="1:33" ht="21.95" customHeight="1" x14ac:dyDescent="0.25">
      <c r="A7" s="28"/>
      <c r="B7" s="29"/>
      <c r="C7" s="16" t="s">
        <v>104</v>
      </c>
      <c r="D7" s="19" t="s">
        <v>379</v>
      </c>
      <c r="E7" s="19"/>
      <c r="F7" s="6" t="str">
        <f>IF(D7="","",IF(LENB(D7)/2&lt;=8,"OK","超過"))</f>
        <v>OK</v>
      </c>
      <c r="G7" s="17" t="s">
        <v>6</v>
      </c>
      <c r="H7" s="30" t="s">
        <v>6</v>
      </c>
      <c r="I7" s="30"/>
      <c r="J7" s="17" t="s">
        <v>6</v>
      </c>
      <c r="K7" s="17" t="s">
        <v>6</v>
      </c>
      <c r="L7" s="30" t="s">
        <v>6</v>
      </c>
      <c r="M7" s="30"/>
      <c r="N7" s="17" t="s">
        <v>6</v>
      </c>
      <c r="O7" s="17" t="s">
        <v>6</v>
      </c>
      <c r="P7" s="30" t="s">
        <v>6</v>
      </c>
      <c r="Q7" s="30"/>
      <c r="R7" s="17" t="s">
        <v>6</v>
      </c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</row>
    <row r="8" spans="1:33" ht="21.95" customHeight="1" x14ac:dyDescent="0.25">
      <c r="A8" s="28"/>
      <c r="B8" s="29"/>
      <c r="C8" s="17" t="s">
        <v>6</v>
      </c>
      <c r="D8" s="30" t="s">
        <v>6</v>
      </c>
      <c r="E8" s="30"/>
      <c r="F8" s="17" t="s">
        <v>6</v>
      </c>
      <c r="G8" s="17" t="s">
        <v>6</v>
      </c>
      <c r="H8" s="30" t="s">
        <v>6</v>
      </c>
      <c r="I8" s="30"/>
      <c r="J8" s="17" t="s">
        <v>6</v>
      </c>
      <c r="K8" s="17" t="s">
        <v>6</v>
      </c>
      <c r="L8" s="30" t="s">
        <v>6</v>
      </c>
      <c r="M8" s="30"/>
      <c r="N8" s="17" t="s">
        <v>6</v>
      </c>
      <c r="O8" s="17" t="s">
        <v>6</v>
      </c>
      <c r="P8" s="30" t="s">
        <v>6</v>
      </c>
      <c r="Q8" s="30"/>
      <c r="R8" s="17" t="s">
        <v>6</v>
      </c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</row>
    <row r="9" spans="1:33" ht="21.95" customHeight="1" x14ac:dyDescent="0.25">
      <c r="A9" s="28"/>
      <c r="B9" s="29"/>
      <c r="C9" s="17" t="s">
        <v>6</v>
      </c>
      <c r="D9" s="30" t="s">
        <v>6</v>
      </c>
      <c r="E9" s="30"/>
      <c r="F9" s="17" t="s">
        <v>6</v>
      </c>
      <c r="G9" s="17" t="s">
        <v>6</v>
      </c>
      <c r="H9" s="30" t="s">
        <v>6</v>
      </c>
      <c r="I9" s="30"/>
      <c r="J9" s="17" t="s">
        <v>6</v>
      </c>
      <c r="K9" s="17" t="s">
        <v>6</v>
      </c>
      <c r="L9" s="30" t="s">
        <v>6</v>
      </c>
      <c r="M9" s="30"/>
      <c r="N9" s="17" t="s">
        <v>6</v>
      </c>
      <c r="O9" s="17" t="s">
        <v>6</v>
      </c>
      <c r="P9" s="30" t="s">
        <v>6</v>
      </c>
      <c r="Q9" s="30"/>
      <c r="R9" s="17" t="s">
        <v>6</v>
      </c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</row>
    <row r="10" spans="1:33" ht="21" customHeight="1" x14ac:dyDescent="0.25">
      <c r="A10" s="28"/>
      <c r="B10" s="29"/>
      <c r="C10" s="23" t="s">
        <v>105</v>
      </c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</row>
    <row r="12" spans="1:33" ht="23.1" customHeight="1" x14ac:dyDescent="0.25">
      <c r="A12" s="28" t="s">
        <v>52</v>
      </c>
      <c r="B12" s="29" t="s">
        <v>106</v>
      </c>
      <c r="C12" s="26" t="s">
        <v>99</v>
      </c>
      <c r="D12" s="26"/>
      <c r="E12" s="26"/>
      <c r="F12" s="26"/>
      <c r="G12" s="27" t="s">
        <v>100</v>
      </c>
      <c r="H12" s="27"/>
      <c r="I12" s="27"/>
      <c r="J12" s="27"/>
      <c r="K12" s="27" t="s">
        <v>100</v>
      </c>
      <c r="L12" s="27"/>
      <c r="M12" s="27"/>
      <c r="N12" s="27"/>
      <c r="O12" s="27" t="s">
        <v>100</v>
      </c>
      <c r="P12" s="27"/>
      <c r="Q12" s="27"/>
      <c r="R12" s="27"/>
      <c r="T12" s="14" t="s">
        <v>59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</row>
    <row r="13" spans="1:33" ht="21.95" customHeight="1" x14ac:dyDescent="0.25">
      <c r="A13" s="28"/>
      <c r="B13" s="29"/>
      <c r="C13" s="16" t="s">
        <v>101</v>
      </c>
      <c r="D13" s="32" t="s">
        <v>377</v>
      </c>
      <c r="E13" s="19"/>
      <c r="F13" s="6" t="str">
        <f>IF(D13="","",IF(LENB(D13)/2&lt;=8,"OK","超過"))</f>
        <v>OK</v>
      </c>
      <c r="G13" s="17" t="s">
        <v>6</v>
      </c>
      <c r="H13" s="30" t="s">
        <v>6</v>
      </c>
      <c r="I13" s="30"/>
      <c r="J13" s="17" t="s">
        <v>6</v>
      </c>
      <c r="K13" s="17" t="s">
        <v>6</v>
      </c>
      <c r="L13" s="30" t="s">
        <v>6</v>
      </c>
      <c r="M13" s="30"/>
      <c r="N13" s="17" t="s">
        <v>6</v>
      </c>
      <c r="O13" s="17" t="s">
        <v>6</v>
      </c>
      <c r="P13" s="30" t="s">
        <v>6</v>
      </c>
      <c r="Q13" s="30"/>
      <c r="R13" s="17" t="s">
        <v>6</v>
      </c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spans="1:33" ht="21.95" customHeight="1" x14ac:dyDescent="0.25">
      <c r="A14" s="28"/>
      <c r="B14" s="29"/>
      <c r="C14" s="16" t="s">
        <v>102</v>
      </c>
      <c r="D14" s="33" t="s">
        <v>383</v>
      </c>
      <c r="E14" s="19"/>
      <c r="F14" s="6" t="str">
        <f>IF(D14="","待填","OK")</f>
        <v>OK</v>
      </c>
      <c r="G14" s="17" t="s">
        <v>6</v>
      </c>
      <c r="H14" s="30" t="s">
        <v>6</v>
      </c>
      <c r="I14" s="30"/>
      <c r="J14" s="17" t="s">
        <v>6</v>
      </c>
      <c r="K14" s="17" t="s">
        <v>6</v>
      </c>
      <c r="L14" s="30" t="s">
        <v>6</v>
      </c>
      <c r="M14" s="30"/>
      <c r="N14" s="17" t="s">
        <v>6</v>
      </c>
      <c r="O14" s="17" t="s">
        <v>6</v>
      </c>
      <c r="P14" s="30" t="s">
        <v>6</v>
      </c>
      <c r="Q14" s="30"/>
      <c r="R14" s="17" t="s">
        <v>6</v>
      </c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</row>
    <row r="15" spans="1:33" ht="21.95" customHeight="1" x14ac:dyDescent="0.25">
      <c r="A15" s="28"/>
      <c r="B15" s="29"/>
      <c r="C15" s="16" t="s">
        <v>103</v>
      </c>
      <c r="D15" s="33" t="s">
        <v>378</v>
      </c>
      <c r="E15" s="19"/>
      <c r="F15" s="6" t="str">
        <f>IF(D15="","待填","OK")</f>
        <v>OK</v>
      </c>
      <c r="G15" s="17" t="s">
        <v>6</v>
      </c>
      <c r="H15" s="30" t="s">
        <v>6</v>
      </c>
      <c r="I15" s="30"/>
      <c r="J15" s="17" t="s">
        <v>6</v>
      </c>
      <c r="K15" s="17" t="s">
        <v>6</v>
      </c>
      <c r="L15" s="30" t="s">
        <v>6</v>
      </c>
      <c r="M15" s="30"/>
      <c r="N15" s="17" t="s">
        <v>6</v>
      </c>
      <c r="O15" s="17" t="s">
        <v>6</v>
      </c>
      <c r="P15" s="30" t="s">
        <v>6</v>
      </c>
      <c r="Q15" s="30"/>
      <c r="R15" s="17" t="s">
        <v>6</v>
      </c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</row>
    <row r="16" spans="1:33" ht="21.95" customHeight="1" x14ac:dyDescent="0.25">
      <c r="A16" s="28"/>
      <c r="B16" s="29"/>
      <c r="C16" s="16" t="s">
        <v>104</v>
      </c>
      <c r="D16" s="33" t="s">
        <v>379</v>
      </c>
      <c r="E16" s="19"/>
      <c r="F16" s="6" t="str">
        <f>IF(D16="","",IF(LENB(D16)/2&lt;=8,"OK","超過"))</f>
        <v>OK</v>
      </c>
      <c r="G16" s="17" t="s">
        <v>6</v>
      </c>
      <c r="H16" s="30" t="s">
        <v>6</v>
      </c>
      <c r="I16" s="30"/>
      <c r="J16" s="17" t="s">
        <v>6</v>
      </c>
      <c r="K16" s="17" t="s">
        <v>6</v>
      </c>
      <c r="L16" s="30" t="s">
        <v>6</v>
      </c>
      <c r="M16" s="30"/>
      <c r="N16" s="17" t="s">
        <v>6</v>
      </c>
      <c r="O16" s="17" t="s">
        <v>6</v>
      </c>
      <c r="P16" s="30" t="s">
        <v>6</v>
      </c>
      <c r="Q16" s="30"/>
      <c r="R16" s="17" t="s">
        <v>6</v>
      </c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</row>
    <row r="17" spans="1:33" ht="21.95" customHeight="1" x14ac:dyDescent="0.25">
      <c r="A17" s="28"/>
      <c r="B17" s="29"/>
      <c r="C17" s="16" t="s">
        <v>107</v>
      </c>
      <c r="D17" s="32" t="s">
        <v>380</v>
      </c>
      <c r="E17" s="19"/>
      <c r="F17" s="6" t="str">
        <f>IF(D17="","",IF(LENB(D17)/2&lt;=5,"OK","超過"))</f>
        <v>OK</v>
      </c>
      <c r="G17" s="17" t="s">
        <v>6</v>
      </c>
      <c r="H17" s="30" t="s">
        <v>6</v>
      </c>
      <c r="I17" s="30"/>
      <c r="J17" s="17" t="s">
        <v>6</v>
      </c>
      <c r="K17" s="17" t="s">
        <v>6</v>
      </c>
      <c r="L17" s="30" t="s">
        <v>6</v>
      </c>
      <c r="M17" s="30"/>
      <c r="N17" s="17" t="s">
        <v>6</v>
      </c>
      <c r="O17" s="17" t="s">
        <v>6</v>
      </c>
      <c r="P17" s="30" t="s">
        <v>6</v>
      </c>
      <c r="Q17" s="30"/>
      <c r="R17" s="17" t="s">
        <v>6</v>
      </c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</row>
    <row r="18" spans="1:33" ht="21.95" customHeight="1" x14ac:dyDescent="0.25">
      <c r="A18" s="28"/>
      <c r="B18" s="29"/>
      <c r="C18" s="17" t="s">
        <v>6</v>
      </c>
      <c r="D18" s="30" t="s">
        <v>6</v>
      </c>
      <c r="E18" s="30"/>
      <c r="F18" s="17" t="s">
        <v>6</v>
      </c>
      <c r="G18" s="17" t="s">
        <v>6</v>
      </c>
      <c r="H18" s="30" t="s">
        <v>6</v>
      </c>
      <c r="I18" s="30"/>
      <c r="J18" s="17" t="s">
        <v>6</v>
      </c>
      <c r="K18" s="17" t="s">
        <v>6</v>
      </c>
      <c r="L18" s="30" t="s">
        <v>6</v>
      </c>
      <c r="M18" s="30"/>
      <c r="N18" s="17" t="s">
        <v>6</v>
      </c>
      <c r="O18" s="17" t="s">
        <v>6</v>
      </c>
      <c r="P18" s="30" t="s">
        <v>6</v>
      </c>
      <c r="Q18" s="30"/>
      <c r="R18" s="17" t="s">
        <v>6</v>
      </c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</row>
    <row r="19" spans="1:33" ht="21" customHeight="1" x14ac:dyDescent="0.25">
      <c r="A19" s="28"/>
      <c r="B19" s="29"/>
      <c r="C19" s="23" t="s">
        <v>108</v>
      </c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</row>
    <row r="21" spans="1:33" ht="23.1" customHeight="1" x14ac:dyDescent="0.25">
      <c r="A21" s="28" t="s">
        <v>52</v>
      </c>
      <c r="B21" s="29" t="s">
        <v>109</v>
      </c>
      <c r="C21" s="26" t="s">
        <v>99</v>
      </c>
      <c r="D21" s="26"/>
      <c r="E21" s="26"/>
      <c r="F21" s="26"/>
      <c r="G21" s="27" t="s">
        <v>100</v>
      </c>
      <c r="H21" s="27"/>
      <c r="I21" s="27"/>
      <c r="J21" s="27"/>
      <c r="K21" s="27" t="s">
        <v>100</v>
      </c>
      <c r="L21" s="27"/>
      <c r="M21" s="27"/>
      <c r="N21" s="27"/>
      <c r="O21" s="27" t="s">
        <v>100</v>
      </c>
      <c r="P21" s="27"/>
      <c r="Q21" s="27"/>
      <c r="R21" s="27"/>
      <c r="T21" s="14" t="s">
        <v>63</v>
      </c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spans="1:33" ht="21.95" customHeight="1" x14ac:dyDescent="0.25">
      <c r="A22" s="28"/>
      <c r="B22" s="29"/>
      <c r="C22" s="16" t="s">
        <v>101</v>
      </c>
      <c r="D22" s="19" t="s">
        <v>377</v>
      </c>
      <c r="E22" s="19"/>
      <c r="F22" s="6" t="str">
        <f>IF(D22="","",IF(LENB(D22)/2&lt;=8,"OK","超過"))</f>
        <v>OK</v>
      </c>
      <c r="G22" s="17" t="s">
        <v>6</v>
      </c>
      <c r="H22" s="30" t="s">
        <v>6</v>
      </c>
      <c r="I22" s="30"/>
      <c r="J22" s="17" t="s">
        <v>6</v>
      </c>
      <c r="K22" s="17" t="s">
        <v>6</v>
      </c>
      <c r="L22" s="30" t="s">
        <v>6</v>
      </c>
      <c r="M22" s="30"/>
      <c r="N22" s="17" t="s">
        <v>6</v>
      </c>
      <c r="O22" s="17" t="s">
        <v>6</v>
      </c>
      <c r="P22" s="30" t="s">
        <v>6</v>
      </c>
      <c r="Q22" s="30"/>
      <c r="R22" s="17" t="s">
        <v>6</v>
      </c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</row>
    <row r="23" spans="1:33" ht="21.95" customHeight="1" x14ac:dyDescent="0.25">
      <c r="A23" s="28"/>
      <c r="B23" s="29"/>
      <c r="C23" s="16" t="s">
        <v>102</v>
      </c>
      <c r="D23" s="33" t="s">
        <v>384</v>
      </c>
      <c r="E23" s="19"/>
      <c r="F23" s="6" t="str">
        <f>IF(D23="","待填","OK")</f>
        <v>OK</v>
      </c>
      <c r="G23" s="17" t="s">
        <v>6</v>
      </c>
      <c r="H23" s="30" t="s">
        <v>6</v>
      </c>
      <c r="I23" s="30"/>
      <c r="J23" s="17" t="s">
        <v>6</v>
      </c>
      <c r="K23" s="17" t="s">
        <v>6</v>
      </c>
      <c r="L23" s="30" t="s">
        <v>6</v>
      </c>
      <c r="M23" s="30"/>
      <c r="N23" s="17" t="s">
        <v>6</v>
      </c>
      <c r="O23" s="17" t="s">
        <v>6</v>
      </c>
      <c r="P23" s="30" t="s">
        <v>6</v>
      </c>
      <c r="Q23" s="30"/>
      <c r="R23" s="17" t="s">
        <v>6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</row>
    <row r="24" spans="1:33" ht="21.95" customHeight="1" x14ac:dyDescent="0.25">
      <c r="A24" s="28"/>
      <c r="B24" s="29"/>
      <c r="C24" s="16" t="s">
        <v>103</v>
      </c>
      <c r="D24" s="33" t="s">
        <v>385</v>
      </c>
      <c r="E24" s="19"/>
      <c r="F24" s="6" t="str">
        <f>IF(D24="","待填","OK")</f>
        <v>OK</v>
      </c>
      <c r="G24" s="17" t="s">
        <v>6</v>
      </c>
      <c r="H24" s="30" t="s">
        <v>6</v>
      </c>
      <c r="I24" s="30"/>
      <c r="J24" s="17" t="s">
        <v>6</v>
      </c>
      <c r="K24" s="17" t="s">
        <v>6</v>
      </c>
      <c r="L24" s="30" t="s">
        <v>6</v>
      </c>
      <c r="M24" s="30"/>
      <c r="N24" s="17" t="s">
        <v>6</v>
      </c>
      <c r="O24" s="17" t="s">
        <v>6</v>
      </c>
      <c r="P24" s="30" t="s">
        <v>6</v>
      </c>
      <c r="Q24" s="30"/>
      <c r="R24" s="17" t="s">
        <v>6</v>
      </c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</row>
    <row r="25" spans="1:33" ht="21.95" customHeight="1" x14ac:dyDescent="0.25">
      <c r="A25" s="28"/>
      <c r="B25" s="29"/>
      <c r="C25" s="16" t="s">
        <v>104</v>
      </c>
      <c r="D25" s="19" t="s">
        <v>6</v>
      </c>
      <c r="E25" s="19"/>
      <c r="F25" s="6" t="str">
        <f>IF(D25="","",IF(LENB(D25)/2&lt;=4,"OK","超過"))</f>
        <v/>
      </c>
      <c r="G25" s="17" t="s">
        <v>6</v>
      </c>
      <c r="H25" s="30" t="s">
        <v>6</v>
      </c>
      <c r="I25" s="30"/>
      <c r="J25" s="17" t="s">
        <v>6</v>
      </c>
      <c r="K25" s="17" t="s">
        <v>6</v>
      </c>
      <c r="L25" s="30" t="s">
        <v>6</v>
      </c>
      <c r="M25" s="30"/>
      <c r="N25" s="17" t="s">
        <v>6</v>
      </c>
      <c r="O25" s="17" t="s">
        <v>6</v>
      </c>
      <c r="P25" s="30" t="s">
        <v>6</v>
      </c>
      <c r="Q25" s="30"/>
      <c r="R25" s="17" t="s">
        <v>6</v>
      </c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</row>
    <row r="26" spans="1:33" ht="21.95" customHeight="1" x14ac:dyDescent="0.25">
      <c r="A26" s="28"/>
      <c r="B26" s="29"/>
      <c r="C26" s="16" t="s">
        <v>110</v>
      </c>
      <c r="D26" s="19" t="s">
        <v>6</v>
      </c>
      <c r="E26" s="19"/>
      <c r="F26" s="6" t="str">
        <f>IF(D26="","",IF(LENB(D26)/2&lt;=5,"OK","超過"))</f>
        <v/>
      </c>
      <c r="G26" s="17" t="s">
        <v>6</v>
      </c>
      <c r="H26" s="30" t="s">
        <v>6</v>
      </c>
      <c r="I26" s="30"/>
      <c r="J26" s="17" t="s">
        <v>6</v>
      </c>
      <c r="K26" s="17" t="s">
        <v>6</v>
      </c>
      <c r="L26" s="30" t="s">
        <v>6</v>
      </c>
      <c r="M26" s="30"/>
      <c r="N26" s="17" t="s">
        <v>6</v>
      </c>
      <c r="O26" s="17" t="s">
        <v>6</v>
      </c>
      <c r="P26" s="30" t="s">
        <v>6</v>
      </c>
      <c r="Q26" s="30"/>
      <c r="R26" s="17" t="s">
        <v>6</v>
      </c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</row>
    <row r="27" spans="1:33" ht="21.95" customHeight="1" x14ac:dyDescent="0.25">
      <c r="A27" s="28"/>
      <c r="B27" s="29"/>
      <c r="C27" s="16" t="s">
        <v>111</v>
      </c>
      <c r="D27" s="19" t="s">
        <v>6</v>
      </c>
      <c r="E27" s="19"/>
      <c r="F27" s="6" t="str">
        <f>IF(D27="","",IF(LENB(D27)/2&lt;=3,"OK","超過"))</f>
        <v/>
      </c>
      <c r="G27" s="17" t="s">
        <v>6</v>
      </c>
      <c r="H27" s="30" t="s">
        <v>6</v>
      </c>
      <c r="I27" s="30"/>
      <c r="J27" s="17" t="s">
        <v>6</v>
      </c>
      <c r="K27" s="17" t="s">
        <v>6</v>
      </c>
      <c r="L27" s="30" t="s">
        <v>6</v>
      </c>
      <c r="M27" s="30"/>
      <c r="N27" s="17" t="s">
        <v>6</v>
      </c>
      <c r="O27" s="17" t="s">
        <v>6</v>
      </c>
      <c r="P27" s="30" t="s">
        <v>6</v>
      </c>
      <c r="Q27" s="30"/>
      <c r="R27" s="17" t="s">
        <v>6</v>
      </c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</row>
    <row r="28" spans="1:33" ht="21" customHeight="1" x14ac:dyDescent="0.25">
      <c r="A28" s="28"/>
      <c r="B28" s="29"/>
      <c r="C28" s="23" t="s">
        <v>112</v>
      </c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</row>
    <row r="30" spans="1:33" ht="23.1" customHeight="1" x14ac:dyDescent="0.25">
      <c r="A30" s="31" t="s">
        <v>67</v>
      </c>
      <c r="B30" s="29" t="s">
        <v>113</v>
      </c>
      <c r="C30" s="26" t="s">
        <v>114</v>
      </c>
      <c r="D30" s="26"/>
      <c r="E30" s="26"/>
      <c r="F30" s="26"/>
      <c r="G30" s="26" t="s">
        <v>115</v>
      </c>
      <c r="H30" s="26"/>
      <c r="I30" s="26"/>
      <c r="J30" s="26"/>
      <c r="K30" s="27" t="s">
        <v>100</v>
      </c>
      <c r="L30" s="27"/>
      <c r="M30" s="27"/>
      <c r="N30" s="27"/>
      <c r="O30" s="27" t="s">
        <v>100</v>
      </c>
      <c r="P30" s="27"/>
      <c r="Q30" s="27"/>
      <c r="R30" s="27"/>
      <c r="T30" s="14" t="s">
        <v>68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</row>
    <row r="31" spans="1:33" ht="21.95" customHeight="1" x14ac:dyDescent="0.25">
      <c r="A31" s="31"/>
      <c r="B31" s="29"/>
      <c r="C31" s="16" t="s">
        <v>101</v>
      </c>
      <c r="D31" s="19" t="s">
        <v>6</v>
      </c>
      <c r="E31" s="19"/>
      <c r="F31" s="6" t="str">
        <f>IF(D31="","",IF(LENB(D31)/2&lt;=6,"OK","超過"))</f>
        <v/>
      </c>
      <c r="G31" s="16" t="s">
        <v>101</v>
      </c>
      <c r="H31" s="19" t="s">
        <v>6</v>
      </c>
      <c r="I31" s="19"/>
      <c r="J31" s="6" t="str">
        <f>IF(H31="","",IF(LENB(H31)/2&lt;=6,"OK","超過"))</f>
        <v/>
      </c>
      <c r="K31" s="17" t="s">
        <v>6</v>
      </c>
      <c r="L31" s="30" t="s">
        <v>6</v>
      </c>
      <c r="M31" s="30"/>
      <c r="N31" s="17" t="s">
        <v>6</v>
      </c>
      <c r="O31" s="17" t="s">
        <v>6</v>
      </c>
      <c r="P31" s="30" t="s">
        <v>6</v>
      </c>
      <c r="Q31" s="30"/>
      <c r="R31" s="17" t="s">
        <v>6</v>
      </c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</row>
    <row r="32" spans="1:33" ht="21.95" customHeight="1" x14ac:dyDescent="0.25">
      <c r="A32" s="31"/>
      <c r="B32" s="29"/>
      <c r="C32" s="16" t="s">
        <v>103</v>
      </c>
      <c r="D32" s="19" t="s">
        <v>6</v>
      </c>
      <c r="E32" s="19"/>
      <c r="F32" s="6" t="str">
        <f>IF(D32="","待填","OK")</f>
        <v>待填</v>
      </c>
      <c r="G32" s="16" t="s">
        <v>103</v>
      </c>
      <c r="H32" s="19" t="s">
        <v>6</v>
      </c>
      <c r="I32" s="19"/>
      <c r="J32" s="6" t="str">
        <f>IF(H32="","待填","OK")</f>
        <v>待填</v>
      </c>
      <c r="K32" s="17" t="s">
        <v>6</v>
      </c>
      <c r="L32" s="30" t="s">
        <v>6</v>
      </c>
      <c r="M32" s="30"/>
      <c r="N32" s="17" t="s">
        <v>6</v>
      </c>
      <c r="O32" s="17" t="s">
        <v>6</v>
      </c>
      <c r="P32" s="30" t="s">
        <v>6</v>
      </c>
      <c r="Q32" s="30"/>
      <c r="R32" s="17" t="s">
        <v>6</v>
      </c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</row>
    <row r="33" spans="1:33" ht="21.95" customHeight="1" x14ac:dyDescent="0.25">
      <c r="A33" s="31"/>
      <c r="B33" s="29"/>
      <c r="C33" s="16" t="s">
        <v>104</v>
      </c>
      <c r="D33" s="19" t="s">
        <v>6</v>
      </c>
      <c r="E33" s="19"/>
      <c r="F33" s="6" t="str">
        <f>IF(D33="","",IF(LENB(D33)/2&lt;=8,"OK","超過"))</f>
        <v/>
      </c>
      <c r="G33" s="16" t="s">
        <v>104</v>
      </c>
      <c r="H33" s="19" t="s">
        <v>6</v>
      </c>
      <c r="I33" s="19"/>
      <c r="J33" s="6" t="str">
        <f>IF(H33="","",IF(LENB(H33)/2&lt;=8,"OK","超過"))</f>
        <v/>
      </c>
      <c r="K33" s="17" t="s">
        <v>6</v>
      </c>
      <c r="L33" s="30" t="s">
        <v>6</v>
      </c>
      <c r="M33" s="30"/>
      <c r="N33" s="17" t="s">
        <v>6</v>
      </c>
      <c r="O33" s="17" t="s">
        <v>6</v>
      </c>
      <c r="P33" s="30" t="s">
        <v>6</v>
      </c>
      <c r="Q33" s="30"/>
      <c r="R33" s="17" t="s">
        <v>6</v>
      </c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</row>
    <row r="34" spans="1:33" ht="21.95" customHeight="1" x14ac:dyDescent="0.25">
      <c r="A34" s="31"/>
      <c r="B34" s="29"/>
      <c r="C34" s="16" t="s">
        <v>104</v>
      </c>
      <c r="D34" s="19" t="s">
        <v>6</v>
      </c>
      <c r="E34" s="19"/>
      <c r="F34" s="6" t="str">
        <f>IF(D34="","",IF(LENB(D34)/2&lt;=8,"OK","超過"))</f>
        <v/>
      </c>
      <c r="G34" s="16" t="s">
        <v>104</v>
      </c>
      <c r="H34" s="19" t="s">
        <v>6</v>
      </c>
      <c r="I34" s="19"/>
      <c r="J34" s="6" t="str">
        <f>IF(H34="","",IF(LENB(H34)/2&lt;=8,"OK","超過"))</f>
        <v/>
      </c>
      <c r="K34" s="17" t="s">
        <v>6</v>
      </c>
      <c r="L34" s="30" t="s">
        <v>6</v>
      </c>
      <c r="M34" s="30"/>
      <c r="N34" s="17" t="s">
        <v>6</v>
      </c>
      <c r="O34" s="17" t="s">
        <v>6</v>
      </c>
      <c r="P34" s="30" t="s">
        <v>6</v>
      </c>
      <c r="Q34" s="30"/>
      <c r="R34" s="17" t="s">
        <v>6</v>
      </c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</row>
    <row r="35" spans="1:33" ht="21.95" customHeight="1" x14ac:dyDescent="0.25">
      <c r="A35" s="31"/>
      <c r="B35" s="29"/>
      <c r="C35" s="16" t="s">
        <v>107</v>
      </c>
      <c r="D35" s="19" t="s">
        <v>6</v>
      </c>
      <c r="E35" s="19"/>
      <c r="F35" s="6" t="str">
        <f>IF(D35="","",IF(LENB(D35)/2&lt;=5,"OK","超過"))</f>
        <v/>
      </c>
      <c r="G35" s="16" t="s">
        <v>107</v>
      </c>
      <c r="H35" s="19" t="s">
        <v>6</v>
      </c>
      <c r="I35" s="19"/>
      <c r="J35" s="6" t="str">
        <f>IF(H35="","",IF(LENB(H35)/2&lt;=5,"OK","超過"))</f>
        <v/>
      </c>
      <c r="K35" s="17" t="s">
        <v>6</v>
      </c>
      <c r="L35" s="30" t="s">
        <v>6</v>
      </c>
      <c r="M35" s="30"/>
      <c r="N35" s="17" t="s">
        <v>6</v>
      </c>
      <c r="O35" s="17" t="s">
        <v>6</v>
      </c>
      <c r="P35" s="30" t="s">
        <v>6</v>
      </c>
      <c r="Q35" s="30"/>
      <c r="R35" s="17" t="s">
        <v>6</v>
      </c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</row>
    <row r="36" spans="1:33" ht="21.95" customHeight="1" x14ac:dyDescent="0.25">
      <c r="A36" s="31"/>
      <c r="B36" s="29"/>
      <c r="C36" s="17" t="s">
        <v>6</v>
      </c>
      <c r="D36" s="30" t="s">
        <v>6</v>
      </c>
      <c r="E36" s="30"/>
      <c r="F36" s="17" t="s">
        <v>6</v>
      </c>
      <c r="G36" s="17" t="s">
        <v>6</v>
      </c>
      <c r="H36" s="30" t="s">
        <v>6</v>
      </c>
      <c r="I36" s="30"/>
      <c r="J36" s="17" t="s">
        <v>6</v>
      </c>
      <c r="K36" s="17" t="s">
        <v>6</v>
      </c>
      <c r="L36" s="30" t="s">
        <v>6</v>
      </c>
      <c r="M36" s="30"/>
      <c r="N36" s="17" t="s">
        <v>6</v>
      </c>
      <c r="O36" s="17" t="s">
        <v>6</v>
      </c>
      <c r="P36" s="30" t="s">
        <v>6</v>
      </c>
      <c r="Q36" s="30"/>
      <c r="R36" s="17" t="s">
        <v>6</v>
      </c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</row>
    <row r="37" spans="1:33" ht="21" customHeight="1" x14ac:dyDescent="0.25">
      <c r="A37" s="31"/>
      <c r="B37" s="29"/>
      <c r="C37" s="23" t="s">
        <v>116</v>
      </c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</row>
    <row r="39" spans="1:33" ht="23.1" customHeight="1" x14ac:dyDescent="0.25">
      <c r="A39" s="31" t="s">
        <v>67</v>
      </c>
      <c r="B39" s="29" t="s">
        <v>117</v>
      </c>
      <c r="C39" s="26" t="s">
        <v>114</v>
      </c>
      <c r="D39" s="26"/>
      <c r="E39" s="26"/>
      <c r="F39" s="26"/>
      <c r="G39" s="26" t="s">
        <v>118</v>
      </c>
      <c r="H39" s="26"/>
      <c r="I39" s="26"/>
      <c r="J39" s="26"/>
      <c r="K39" s="26" t="s">
        <v>115</v>
      </c>
      <c r="L39" s="26"/>
      <c r="M39" s="26"/>
      <c r="N39" s="26"/>
      <c r="O39" s="27" t="s">
        <v>100</v>
      </c>
      <c r="P39" s="27"/>
      <c r="Q39" s="27"/>
      <c r="R39" s="27"/>
      <c r="T39" s="14" t="s">
        <v>72</v>
      </c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</row>
    <row r="40" spans="1:33" ht="21.95" customHeight="1" x14ac:dyDescent="0.25">
      <c r="A40" s="31"/>
      <c r="B40" s="29"/>
      <c r="C40" s="16" t="s">
        <v>103</v>
      </c>
      <c r="D40" s="19"/>
      <c r="E40" s="19"/>
      <c r="F40" s="6" t="str">
        <f>IF(D40="","待填","OK")</f>
        <v>待填</v>
      </c>
      <c r="G40" s="16" t="s">
        <v>103</v>
      </c>
      <c r="H40" s="19" t="s">
        <v>6</v>
      </c>
      <c r="I40" s="19"/>
      <c r="J40" s="6" t="str">
        <f>IF(H40="","待填","OK")</f>
        <v>待填</v>
      </c>
      <c r="K40" s="16" t="s">
        <v>103</v>
      </c>
      <c r="L40" s="19" t="s">
        <v>6</v>
      </c>
      <c r="M40" s="19"/>
      <c r="N40" s="6" t="str">
        <f>IF(L40="","待填","OK")</f>
        <v>待填</v>
      </c>
      <c r="O40" s="17" t="s">
        <v>6</v>
      </c>
      <c r="P40" s="30" t="s">
        <v>6</v>
      </c>
      <c r="Q40" s="30"/>
      <c r="R40" s="17" t="s">
        <v>6</v>
      </c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</row>
    <row r="41" spans="1:33" ht="21.95" customHeight="1" x14ac:dyDescent="0.25">
      <c r="A41" s="31"/>
      <c r="B41" s="29"/>
      <c r="C41" s="16" t="s">
        <v>119</v>
      </c>
      <c r="D41" s="19" t="s">
        <v>6</v>
      </c>
      <c r="E41" s="19"/>
      <c r="F41" s="6" t="str">
        <f>IF(D41="","待填","OK")</f>
        <v>待填</v>
      </c>
      <c r="G41" s="16" t="s">
        <v>119</v>
      </c>
      <c r="H41" s="19" t="s">
        <v>6</v>
      </c>
      <c r="I41" s="19"/>
      <c r="J41" s="6" t="str">
        <f>IF(H41="","待填","OK")</f>
        <v>待填</v>
      </c>
      <c r="K41" s="16" t="s">
        <v>119</v>
      </c>
      <c r="L41" s="19" t="s">
        <v>6</v>
      </c>
      <c r="M41" s="19"/>
      <c r="N41" s="6" t="str">
        <f>IF(L41="","待填","OK")</f>
        <v>待填</v>
      </c>
      <c r="O41" s="17" t="s">
        <v>6</v>
      </c>
      <c r="P41" s="30" t="s">
        <v>6</v>
      </c>
      <c r="Q41" s="30"/>
      <c r="R41" s="17" t="s">
        <v>6</v>
      </c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</row>
    <row r="42" spans="1:33" ht="21.95" customHeight="1" x14ac:dyDescent="0.25">
      <c r="A42" s="31"/>
      <c r="B42" s="29"/>
      <c r="C42" s="16" t="s">
        <v>107</v>
      </c>
      <c r="D42" s="19" t="s">
        <v>6</v>
      </c>
      <c r="E42" s="19"/>
      <c r="F42" s="6" t="str">
        <f>IF(D42="","",IF(LENB(D42)/2&lt;=5,"OK","超過"))</f>
        <v/>
      </c>
      <c r="G42" s="16" t="s">
        <v>107</v>
      </c>
      <c r="H42" s="19" t="s">
        <v>6</v>
      </c>
      <c r="I42" s="19"/>
      <c r="J42" s="6" t="str">
        <f>IF(H42="","",IF(LENB(H42)/2&lt;=5,"OK","超過"))</f>
        <v/>
      </c>
      <c r="K42" s="16" t="s">
        <v>107</v>
      </c>
      <c r="L42" s="19" t="s">
        <v>6</v>
      </c>
      <c r="M42" s="19"/>
      <c r="N42" s="6" t="str">
        <f>IF(L42="","",IF(LENB(L42)/2&lt;=5,"OK","超過"))</f>
        <v/>
      </c>
      <c r="O42" s="17" t="s">
        <v>6</v>
      </c>
      <c r="P42" s="30" t="s">
        <v>6</v>
      </c>
      <c r="Q42" s="30"/>
      <c r="R42" s="17" t="s">
        <v>6</v>
      </c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</row>
    <row r="43" spans="1:33" ht="21.95" customHeight="1" x14ac:dyDescent="0.25">
      <c r="A43" s="31"/>
      <c r="B43" s="29"/>
      <c r="C43" s="16" t="s">
        <v>104</v>
      </c>
      <c r="D43" s="19" t="s">
        <v>6</v>
      </c>
      <c r="E43" s="19"/>
      <c r="F43" s="6" t="str">
        <f>IF(D43="","",IF(LENB(D43)/2&lt;=7,"OK","超過"))</f>
        <v/>
      </c>
      <c r="G43" s="16" t="s">
        <v>104</v>
      </c>
      <c r="H43" s="19" t="s">
        <v>6</v>
      </c>
      <c r="I43" s="19"/>
      <c r="J43" s="6" t="str">
        <f>IF(H43="","",IF(LENB(H43)/2&lt;=7,"OK","超過"))</f>
        <v/>
      </c>
      <c r="K43" s="16" t="s">
        <v>104</v>
      </c>
      <c r="L43" s="19" t="s">
        <v>6</v>
      </c>
      <c r="M43" s="19"/>
      <c r="N43" s="6" t="str">
        <f>IF(L43="","",IF(LENB(L43)/2&lt;=7,"OK","超過"))</f>
        <v/>
      </c>
      <c r="O43" s="17" t="s">
        <v>6</v>
      </c>
      <c r="P43" s="30" t="s">
        <v>6</v>
      </c>
      <c r="Q43" s="30"/>
      <c r="R43" s="17" t="s">
        <v>6</v>
      </c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</row>
    <row r="44" spans="1:33" ht="21.95" customHeight="1" x14ac:dyDescent="0.25">
      <c r="A44" s="31"/>
      <c r="B44" s="29"/>
      <c r="C44" s="17" t="s">
        <v>6</v>
      </c>
      <c r="D44" s="30" t="s">
        <v>6</v>
      </c>
      <c r="E44" s="30"/>
      <c r="F44" s="17" t="s">
        <v>6</v>
      </c>
      <c r="G44" s="17" t="s">
        <v>6</v>
      </c>
      <c r="H44" s="30" t="s">
        <v>6</v>
      </c>
      <c r="I44" s="30"/>
      <c r="J44" s="17" t="s">
        <v>6</v>
      </c>
      <c r="K44" s="17" t="s">
        <v>6</v>
      </c>
      <c r="L44" s="30" t="s">
        <v>6</v>
      </c>
      <c r="M44" s="30"/>
      <c r="N44" s="17" t="s">
        <v>6</v>
      </c>
      <c r="O44" s="17" t="s">
        <v>6</v>
      </c>
      <c r="P44" s="30" t="s">
        <v>6</v>
      </c>
      <c r="Q44" s="30"/>
      <c r="R44" s="17" t="s">
        <v>6</v>
      </c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</row>
    <row r="45" spans="1:33" ht="21.95" customHeight="1" x14ac:dyDescent="0.25">
      <c r="A45" s="31"/>
      <c r="B45" s="29"/>
      <c r="C45" s="17" t="s">
        <v>6</v>
      </c>
      <c r="D45" s="30" t="s">
        <v>6</v>
      </c>
      <c r="E45" s="30"/>
      <c r="F45" s="17" t="s">
        <v>6</v>
      </c>
      <c r="G45" s="17" t="s">
        <v>6</v>
      </c>
      <c r="H45" s="30" t="s">
        <v>6</v>
      </c>
      <c r="I45" s="30"/>
      <c r="J45" s="17" t="s">
        <v>6</v>
      </c>
      <c r="K45" s="17" t="s">
        <v>6</v>
      </c>
      <c r="L45" s="30" t="s">
        <v>6</v>
      </c>
      <c r="M45" s="30"/>
      <c r="N45" s="17" t="s">
        <v>6</v>
      </c>
      <c r="O45" s="17" t="s">
        <v>6</v>
      </c>
      <c r="P45" s="30" t="s">
        <v>6</v>
      </c>
      <c r="Q45" s="30"/>
      <c r="R45" s="17" t="s">
        <v>6</v>
      </c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</row>
    <row r="46" spans="1:33" ht="21" customHeight="1" x14ac:dyDescent="0.25">
      <c r="A46" s="31"/>
      <c r="B46" s="29"/>
      <c r="C46" s="23" t="s">
        <v>120</v>
      </c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</row>
    <row r="48" spans="1:33" ht="23.1" customHeight="1" x14ac:dyDescent="0.25">
      <c r="A48" s="31" t="s">
        <v>67</v>
      </c>
      <c r="B48" s="29" t="s">
        <v>121</v>
      </c>
      <c r="C48" s="26" t="s">
        <v>115</v>
      </c>
      <c r="D48" s="26"/>
      <c r="E48" s="26"/>
      <c r="F48" s="26"/>
      <c r="G48" s="26" t="s">
        <v>114</v>
      </c>
      <c r="H48" s="26"/>
      <c r="I48" s="26"/>
      <c r="J48" s="26"/>
      <c r="K48" s="27" t="s">
        <v>100</v>
      </c>
      <c r="L48" s="27"/>
      <c r="M48" s="27"/>
      <c r="N48" s="27"/>
      <c r="O48" s="27" t="s">
        <v>100</v>
      </c>
      <c r="P48" s="27"/>
      <c r="Q48" s="27"/>
      <c r="R48" s="27"/>
      <c r="T48" s="14" t="s">
        <v>76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</row>
    <row r="49" spans="1:33" ht="21.95" customHeight="1" x14ac:dyDescent="0.25">
      <c r="A49" s="31"/>
      <c r="B49" s="29"/>
      <c r="C49" s="16" t="s">
        <v>101</v>
      </c>
      <c r="D49" s="19" t="s">
        <v>6</v>
      </c>
      <c r="E49" s="19"/>
      <c r="F49" s="6" t="str">
        <f>IF(D49="","",IF(LENB(D49)/2&lt;=8,"OK","超過"))</f>
        <v/>
      </c>
      <c r="G49" s="16" t="s">
        <v>101</v>
      </c>
      <c r="H49" s="19" t="s">
        <v>6</v>
      </c>
      <c r="I49" s="19"/>
      <c r="J49" s="6" t="str">
        <f>IF(H49="","",IF(LENB(H49)/2&lt;=8,"OK","超過"))</f>
        <v/>
      </c>
      <c r="K49" s="17" t="s">
        <v>6</v>
      </c>
      <c r="L49" s="30" t="s">
        <v>6</v>
      </c>
      <c r="M49" s="30"/>
      <c r="N49" s="17" t="s">
        <v>6</v>
      </c>
      <c r="O49" s="17" t="s">
        <v>6</v>
      </c>
      <c r="P49" s="30" t="s">
        <v>6</v>
      </c>
      <c r="Q49" s="30"/>
      <c r="R49" s="17" t="s">
        <v>6</v>
      </c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</row>
    <row r="50" spans="1:33" ht="21.95" customHeight="1" x14ac:dyDescent="0.25">
      <c r="A50" s="31"/>
      <c r="B50" s="29"/>
      <c r="C50" s="16" t="s">
        <v>103</v>
      </c>
      <c r="D50" s="19" t="s">
        <v>6</v>
      </c>
      <c r="E50" s="19"/>
      <c r="F50" s="6" t="str">
        <f>IF(D50="","待填","OK")</f>
        <v>待填</v>
      </c>
      <c r="G50" s="16" t="s">
        <v>103</v>
      </c>
      <c r="H50" s="19" t="s">
        <v>6</v>
      </c>
      <c r="I50" s="19"/>
      <c r="J50" s="6" t="str">
        <f>IF(H50="","待填","OK")</f>
        <v>待填</v>
      </c>
      <c r="K50" s="17" t="s">
        <v>6</v>
      </c>
      <c r="L50" s="30" t="s">
        <v>6</v>
      </c>
      <c r="M50" s="30"/>
      <c r="N50" s="17" t="s">
        <v>6</v>
      </c>
      <c r="O50" s="17" t="s">
        <v>6</v>
      </c>
      <c r="P50" s="30" t="s">
        <v>6</v>
      </c>
      <c r="Q50" s="30"/>
      <c r="R50" s="17" t="s">
        <v>6</v>
      </c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</row>
    <row r="51" spans="1:33" ht="21.95" customHeight="1" x14ac:dyDescent="0.25">
      <c r="A51" s="31"/>
      <c r="B51" s="29"/>
      <c r="C51" s="16" t="s">
        <v>104</v>
      </c>
      <c r="D51" s="19" t="s">
        <v>6</v>
      </c>
      <c r="E51" s="19"/>
      <c r="F51" s="6" t="str">
        <f>IF(D51="","",IF(LENB(D51)/2&lt;=10,"OK","超過"))</f>
        <v/>
      </c>
      <c r="G51" s="16" t="s">
        <v>104</v>
      </c>
      <c r="H51" s="19" t="s">
        <v>6</v>
      </c>
      <c r="I51" s="19"/>
      <c r="J51" s="6" t="str">
        <f>IF(H51="","",IF(LENB(H51)/2&lt;=10,"OK","超過"))</f>
        <v/>
      </c>
      <c r="K51" s="17" t="s">
        <v>6</v>
      </c>
      <c r="L51" s="30" t="s">
        <v>6</v>
      </c>
      <c r="M51" s="30"/>
      <c r="N51" s="17" t="s">
        <v>6</v>
      </c>
      <c r="O51" s="17" t="s">
        <v>6</v>
      </c>
      <c r="P51" s="30" t="s">
        <v>6</v>
      </c>
      <c r="Q51" s="30"/>
      <c r="R51" s="17" t="s">
        <v>6</v>
      </c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</row>
    <row r="52" spans="1:33" ht="21.95" customHeight="1" x14ac:dyDescent="0.25">
      <c r="A52" s="31"/>
      <c r="B52" s="29"/>
      <c r="C52" s="16" t="s">
        <v>122</v>
      </c>
      <c r="D52" s="19" t="s">
        <v>6</v>
      </c>
      <c r="E52" s="19"/>
      <c r="F52" s="6" t="str">
        <f>IF(D52="","",IF(LENB(D52)/2&lt;=8,"OK","超過"))</f>
        <v/>
      </c>
      <c r="G52" s="16" t="s">
        <v>122</v>
      </c>
      <c r="H52" s="19" t="s">
        <v>6</v>
      </c>
      <c r="I52" s="19"/>
      <c r="J52" s="6" t="str">
        <f>IF(H52="","",IF(LENB(H52)/2&lt;=8,"OK","超過"))</f>
        <v/>
      </c>
      <c r="K52" s="17" t="s">
        <v>6</v>
      </c>
      <c r="L52" s="30" t="s">
        <v>6</v>
      </c>
      <c r="M52" s="30"/>
      <c r="N52" s="17" t="s">
        <v>6</v>
      </c>
      <c r="O52" s="17" t="s">
        <v>6</v>
      </c>
      <c r="P52" s="30" t="s">
        <v>6</v>
      </c>
      <c r="Q52" s="30"/>
      <c r="R52" s="17" t="s">
        <v>6</v>
      </c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</row>
    <row r="53" spans="1:33" ht="21.95" customHeight="1" x14ac:dyDescent="0.25">
      <c r="A53" s="31"/>
      <c r="B53" s="29"/>
      <c r="C53" s="17" t="s">
        <v>6</v>
      </c>
      <c r="D53" s="30" t="s">
        <v>6</v>
      </c>
      <c r="E53" s="30"/>
      <c r="F53" s="17" t="s">
        <v>6</v>
      </c>
      <c r="G53" s="17" t="s">
        <v>6</v>
      </c>
      <c r="H53" s="30" t="s">
        <v>6</v>
      </c>
      <c r="I53" s="30"/>
      <c r="J53" s="17" t="s">
        <v>6</v>
      </c>
      <c r="K53" s="17" t="s">
        <v>6</v>
      </c>
      <c r="L53" s="30" t="s">
        <v>6</v>
      </c>
      <c r="M53" s="30"/>
      <c r="N53" s="17" t="s">
        <v>6</v>
      </c>
      <c r="O53" s="17" t="s">
        <v>6</v>
      </c>
      <c r="P53" s="30" t="s">
        <v>6</v>
      </c>
      <c r="Q53" s="30"/>
      <c r="R53" s="17" t="s">
        <v>6</v>
      </c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</row>
    <row r="54" spans="1:33" ht="21.95" customHeight="1" x14ac:dyDescent="0.25">
      <c r="A54" s="31"/>
      <c r="B54" s="29"/>
      <c r="C54" s="17" t="s">
        <v>6</v>
      </c>
      <c r="D54" s="30" t="s">
        <v>6</v>
      </c>
      <c r="E54" s="30"/>
      <c r="F54" s="17" t="s">
        <v>6</v>
      </c>
      <c r="G54" s="17" t="s">
        <v>6</v>
      </c>
      <c r="H54" s="30" t="s">
        <v>6</v>
      </c>
      <c r="I54" s="30"/>
      <c r="J54" s="17" t="s">
        <v>6</v>
      </c>
      <c r="K54" s="17" t="s">
        <v>6</v>
      </c>
      <c r="L54" s="30" t="s">
        <v>6</v>
      </c>
      <c r="M54" s="30"/>
      <c r="N54" s="17" t="s">
        <v>6</v>
      </c>
      <c r="O54" s="17" t="s">
        <v>6</v>
      </c>
      <c r="P54" s="30" t="s">
        <v>6</v>
      </c>
      <c r="Q54" s="30"/>
      <c r="R54" s="17" t="s">
        <v>6</v>
      </c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</row>
    <row r="55" spans="1:33" ht="21" customHeight="1" x14ac:dyDescent="0.25">
      <c r="A55" s="31"/>
      <c r="B55" s="29"/>
      <c r="C55" s="23" t="s">
        <v>123</v>
      </c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</row>
    <row r="57" spans="1:33" ht="23.1" customHeight="1" x14ac:dyDescent="0.25">
      <c r="A57" s="31" t="s">
        <v>67</v>
      </c>
      <c r="B57" s="29" t="s">
        <v>124</v>
      </c>
      <c r="C57" s="26" t="s">
        <v>115</v>
      </c>
      <c r="D57" s="26"/>
      <c r="E57" s="26"/>
      <c r="F57" s="26"/>
      <c r="G57" s="26" t="s">
        <v>118</v>
      </c>
      <c r="H57" s="26"/>
      <c r="I57" s="26"/>
      <c r="J57" s="26"/>
      <c r="K57" s="26" t="s">
        <v>114</v>
      </c>
      <c r="L57" s="26"/>
      <c r="M57" s="26"/>
      <c r="N57" s="26"/>
      <c r="O57" s="27" t="s">
        <v>100</v>
      </c>
      <c r="P57" s="27"/>
      <c r="Q57" s="27"/>
      <c r="R57" s="27"/>
      <c r="T57" s="14" t="s">
        <v>80</v>
      </c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</row>
    <row r="58" spans="1:33" ht="21.95" customHeight="1" x14ac:dyDescent="0.25">
      <c r="A58" s="31"/>
      <c r="B58" s="29"/>
      <c r="C58" s="16" t="s">
        <v>102</v>
      </c>
      <c r="D58" s="19" t="s">
        <v>6</v>
      </c>
      <c r="E58" s="19"/>
      <c r="F58" s="6" t="str">
        <f>IF(D58="","待填","OK")</f>
        <v>待填</v>
      </c>
      <c r="G58" s="16" t="s">
        <v>102</v>
      </c>
      <c r="H58" s="19" t="s">
        <v>6</v>
      </c>
      <c r="I58" s="19"/>
      <c r="J58" s="6" t="str">
        <f>IF(H58="","待填","OK")</f>
        <v>待填</v>
      </c>
      <c r="K58" s="16" t="s">
        <v>102</v>
      </c>
      <c r="L58" s="19" t="s">
        <v>6</v>
      </c>
      <c r="M58" s="19"/>
      <c r="N58" s="6" t="str">
        <f>IF(L58="","待填","OK")</f>
        <v>待填</v>
      </c>
      <c r="O58" s="17" t="s">
        <v>6</v>
      </c>
      <c r="P58" s="30" t="s">
        <v>6</v>
      </c>
      <c r="Q58" s="30"/>
      <c r="R58" s="17" t="s">
        <v>6</v>
      </c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</row>
    <row r="59" spans="1:33" ht="21.95" customHeight="1" x14ac:dyDescent="0.25">
      <c r="A59" s="31"/>
      <c r="B59" s="29"/>
      <c r="C59" s="16" t="s">
        <v>104</v>
      </c>
      <c r="D59" s="19" t="s">
        <v>6</v>
      </c>
      <c r="E59" s="19"/>
      <c r="F59" s="6" t="str">
        <f>IF(D59="","",IF(LENB(D59)/2&lt;=7,"OK","超過"))</f>
        <v/>
      </c>
      <c r="G59" s="16" t="s">
        <v>104</v>
      </c>
      <c r="H59" s="19" t="s">
        <v>6</v>
      </c>
      <c r="I59" s="19"/>
      <c r="J59" s="6" t="str">
        <f>IF(H59="","",IF(LENB(H59)/2&lt;=7,"OK","超過"))</f>
        <v/>
      </c>
      <c r="K59" s="16" t="s">
        <v>104</v>
      </c>
      <c r="L59" s="19" t="s">
        <v>6</v>
      </c>
      <c r="M59" s="19"/>
      <c r="N59" s="6" t="str">
        <f>IF(L59="","",IF(LENB(L59)/2&lt;=7,"OK","超過"))</f>
        <v/>
      </c>
      <c r="O59" s="17" t="s">
        <v>6</v>
      </c>
      <c r="P59" s="30" t="s">
        <v>6</v>
      </c>
      <c r="Q59" s="30"/>
      <c r="R59" s="17" t="s">
        <v>6</v>
      </c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</row>
    <row r="60" spans="1:33" ht="21.95" customHeight="1" x14ac:dyDescent="0.25">
      <c r="A60" s="31"/>
      <c r="B60" s="29"/>
      <c r="C60" s="16" t="s">
        <v>125</v>
      </c>
      <c r="D60" s="19" t="s">
        <v>6</v>
      </c>
      <c r="E60" s="19"/>
      <c r="F60" s="6" t="str">
        <f>IF(D60="","待填","OK")</f>
        <v>待填</v>
      </c>
      <c r="G60" s="16" t="s">
        <v>125</v>
      </c>
      <c r="H60" s="19" t="s">
        <v>6</v>
      </c>
      <c r="I60" s="19"/>
      <c r="J60" s="6" t="str">
        <f>IF(H60="","待填","OK")</f>
        <v>待填</v>
      </c>
      <c r="K60" s="16" t="s">
        <v>125</v>
      </c>
      <c r="L60" s="19" t="s">
        <v>6</v>
      </c>
      <c r="M60" s="19"/>
      <c r="N60" s="6" t="str">
        <f>IF(L60="","待填","OK")</f>
        <v>待填</v>
      </c>
      <c r="O60" s="17" t="s">
        <v>6</v>
      </c>
      <c r="P60" s="30" t="s">
        <v>6</v>
      </c>
      <c r="Q60" s="30"/>
      <c r="R60" s="17" t="s">
        <v>6</v>
      </c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</row>
    <row r="61" spans="1:33" ht="21.95" customHeight="1" x14ac:dyDescent="0.25">
      <c r="A61" s="31"/>
      <c r="B61" s="29"/>
      <c r="C61" s="17" t="s">
        <v>6</v>
      </c>
      <c r="D61" s="30" t="s">
        <v>6</v>
      </c>
      <c r="E61" s="30"/>
      <c r="F61" s="17" t="s">
        <v>6</v>
      </c>
      <c r="G61" s="17" t="s">
        <v>6</v>
      </c>
      <c r="H61" s="30" t="s">
        <v>6</v>
      </c>
      <c r="I61" s="30"/>
      <c r="J61" s="17" t="s">
        <v>6</v>
      </c>
      <c r="K61" s="17" t="s">
        <v>6</v>
      </c>
      <c r="L61" s="30" t="s">
        <v>6</v>
      </c>
      <c r="M61" s="30"/>
      <c r="N61" s="17" t="s">
        <v>6</v>
      </c>
      <c r="O61" s="17" t="s">
        <v>6</v>
      </c>
      <c r="P61" s="30" t="s">
        <v>6</v>
      </c>
      <c r="Q61" s="30"/>
      <c r="R61" s="17" t="s">
        <v>6</v>
      </c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</row>
    <row r="62" spans="1:33" ht="21.95" customHeight="1" x14ac:dyDescent="0.25">
      <c r="A62" s="31"/>
      <c r="B62" s="29"/>
      <c r="C62" s="17" t="s">
        <v>6</v>
      </c>
      <c r="D62" s="30" t="s">
        <v>6</v>
      </c>
      <c r="E62" s="30"/>
      <c r="F62" s="17" t="s">
        <v>6</v>
      </c>
      <c r="G62" s="17" t="s">
        <v>6</v>
      </c>
      <c r="H62" s="30" t="s">
        <v>6</v>
      </c>
      <c r="I62" s="30"/>
      <c r="J62" s="17" t="s">
        <v>6</v>
      </c>
      <c r="K62" s="17" t="s">
        <v>6</v>
      </c>
      <c r="L62" s="30" t="s">
        <v>6</v>
      </c>
      <c r="M62" s="30"/>
      <c r="N62" s="17" t="s">
        <v>6</v>
      </c>
      <c r="O62" s="17" t="s">
        <v>6</v>
      </c>
      <c r="P62" s="30" t="s">
        <v>6</v>
      </c>
      <c r="Q62" s="30"/>
      <c r="R62" s="17" t="s">
        <v>6</v>
      </c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</row>
    <row r="63" spans="1:33" ht="21.95" customHeight="1" x14ac:dyDescent="0.25">
      <c r="A63" s="31"/>
      <c r="B63" s="29"/>
      <c r="C63" s="17" t="s">
        <v>6</v>
      </c>
      <c r="D63" s="30" t="s">
        <v>6</v>
      </c>
      <c r="E63" s="30"/>
      <c r="F63" s="17" t="s">
        <v>6</v>
      </c>
      <c r="G63" s="17" t="s">
        <v>6</v>
      </c>
      <c r="H63" s="30" t="s">
        <v>6</v>
      </c>
      <c r="I63" s="30"/>
      <c r="J63" s="17" t="s">
        <v>6</v>
      </c>
      <c r="K63" s="17" t="s">
        <v>6</v>
      </c>
      <c r="L63" s="30" t="s">
        <v>6</v>
      </c>
      <c r="M63" s="30"/>
      <c r="N63" s="17" t="s">
        <v>6</v>
      </c>
      <c r="O63" s="17" t="s">
        <v>6</v>
      </c>
      <c r="P63" s="30" t="s">
        <v>6</v>
      </c>
      <c r="Q63" s="30"/>
      <c r="R63" s="17" t="s">
        <v>6</v>
      </c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</row>
    <row r="64" spans="1:33" ht="21" customHeight="1" x14ac:dyDescent="0.25">
      <c r="A64" s="31"/>
      <c r="B64" s="29"/>
      <c r="C64" s="23" t="s">
        <v>126</v>
      </c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</row>
    <row r="66" spans="1:33" ht="23.1" customHeight="1" x14ac:dyDescent="0.25">
      <c r="A66" s="31" t="s">
        <v>67</v>
      </c>
      <c r="B66" s="29" t="s">
        <v>127</v>
      </c>
      <c r="C66" s="26" t="s">
        <v>115</v>
      </c>
      <c r="D66" s="26"/>
      <c r="E66" s="26"/>
      <c r="F66" s="26"/>
      <c r="G66" s="26" t="s">
        <v>128</v>
      </c>
      <c r="H66" s="26"/>
      <c r="I66" s="26"/>
      <c r="J66" s="26"/>
      <c r="K66" s="26" t="s">
        <v>129</v>
      </c>
      <c r="L66" s="26"/>
      <c r="M66" s="26"/>
      <c r="N66" s="26"/>
      <c r="O66" s="26" t="s">
        <v>114</v>
      </c>
      <c r="P66" s="26"/>
      <c r="Q66" s="26"/>
      <c r="R66" s="26"/>
      <c r="T66" s="14" t="s">
        <v>84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</row>
    <row r="67" spans="1:33" ht="21.95" customHeight="1" x14ac:dyDescent="0.25">
      <c r="A67" s="31"/>
      <c r="B67" s="29"/>
      <c r="C67" s="16" t="s">
        <v>101</v>
      </c>
      <c r="D67" s="19" t="s">
        <v>6</v>
      </c>
      <c r="E67" s="19"/>
      <c r="F67" s="6" t="str">
        <f>IF(D67="","",IF(LENB(D67)/2&lt;=5,"OK","超過"))</f>
        <v/>
      </c>
      <c r="G67" s="16" t="s">
        <v>101</v>
      </c>
      <c r="H67" s="19" t="s">
        <v>6</v>
      </c>
      <c r="I67" s="19"/>
      <c r="J67" s="6" t="str">
        <f>IF(H67="","",IF(LENB(H67)/2&lt;=5,"OK","超過"))</f>
        <v/>
      </c>
      <c r="K67" s="16" t="s">
        <v>101</v>
      </c>
      <c r="L67" s="19" t="s">
        <v>6</v>
      </c>
      <c r="M67" s="19"/>
      <c r="N67" s="6" t="str">
        <f>IF(L67="","",IF(LENB(L67)/2&lt;=5,"OK","超過"))</f>
        <v/>
      </c>
      <c r="O67" s="16" t="s">
        <v>101</v>
      </c>
      <c r="P67" s="19" t="s">
        <v>6</v>
      </c>
      <c r="Q67" s="19"/>
      <c r="R67" s="6" t="str">
        <f>IF(P67="","",IF(LENB(P67)/2&lt;=5,"OK","超過"))</f>
        <v/>
      </c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</row>
    <row r="68" spans="1:33" ht="21.95" customHeight="1" x14ac:dyDescent="0.25">
      <c r="A68" s="31"/>
      <c r="B68" s="29"/>
      <c r="C68" s="16" t="s">
        <v>130</v>
      </c>
      <c r="D68" s="19" t="s">
        <v>6</v>
      </c>
      <c r="E68" s="19"/>
      <c r="F68" s="6" t="str">
        <f>IF(D68="","待填","OK")</f>
        <v>待填</v>
      </c>
      <c r="G68" s="16" t="s">
        <v>130</v>
      </c>
      <c r="H68" s="19" t="s">
        <v>6</v>
      </c>
      <c r="I68" s="19"/>
      <c r="J68" s="6" t="str">
        <f>IF(H68="","待填","OK")</f>
        <v>待填</v>
      </c>
      <c r="K68" s="16" t="s">
        <v>130</v>
      </c>
      <c r="L68" s="19" t="s">
        <v>6</v>
      </c>
      <c r="M68" s="19"/>
      <c r="N68" s="6" t="str">
        <f>IF(L68="","待填","OK")</f>
        <v>待填</v>
      </c>
      <c r="O68" s="16" t="s">
        <v>130</v>
      </c>
      <c r="P68" s="19" t="s">
        <v>6</v>
      </c>
      <c r="Q68" s="19"/>
      <c r="R68" s="6" t="str">
        <f>IF(P68="","待填","OK")</f>
        <v>待填</v>
      </c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</row>
    <row r="69" spans="1:33" ht="21.95" customHeight="1" x14ac:dyDescent="0.25">
      <c r="A69" s="31"/>
      <c r="B69" s="29"/>
      <c r="C69" s="16" t="s">
        <v>104</v>
      </c>
      <c r="D69" s="19" t="s">
        <v>6</v>
      </c>
      <c r="E69" s="19"/>
      <c r="F69" s="6" t="str">
        <f>IF(D69="","",IF(LENB(D69)/2&lt;=5,"OK","超過"))</f>
        <v/>
      </c>
      <c r="G69" s="16" t="s">
        <v>104</v>
      </c>
      <c r="H69" s="19" t="s">
        <v>6</v>
      </c>
      <c r="I69" s="19"/>
      <c r="J69" s="6" t="str">
        <f>IF(H69="","",IF(LENB(H69)/2&lt;=5,"OK","超過"))</f>
        <v/>
      </c>
      <c r="K69" s="16" t="s">
        <v>104</v>
      </c>
      <c r="L69" s="19" t="s">
        <v>6</v>
      </c>
      <c r="M69" s="19"/>
      <c r="N69" s="6" t="str">
        <f>IF(L69="","",IF(LENB(L69)/2&lt;=5,"OK","超過"))</f>
        <v/>
      </c>
      <c r="O69" s="16" t="s">
        <v>104</v>
      </c>
      <c r="P69" s="19" t="s">
        <v>6</v>
      </c>
      <c r="Q69" s="19"/>
      <c r="R69" s="6" t="str">
        <f>IF(P69="","",IF(LENB(P69)/2&lt;=5,"OK","超過"))</f>
        <v/>
      </c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</row>
    <row r="70" spans="1:33" ht="21.95" customHeight="1" x14ac:dyDescent="0.25">
      <c r="A70" s="31"/>
      <c r="B70" s="29"/>
      <c r="C70" s="16" t="s">
        <v>110</v>
      </c>
      <c r="D70" s="19" t="s">
        <v>6</v>
      </c>
      <c r="E70" s="19"/>
      <c r="F70" s="6" t="str">
        <f>IF(D70="","",IF(LENB(D70)/2&lt;=6,"OK","超過"))</f>
        <v/>
      </c>
      <c r="G70" s="16" t="s">
        <v>110</v>
      </c>
      <c r="H70" s="19" t="s">
        <v>6</v>
      </c>
      <c r="I70" s="19"/>
      <c r="J70" s="6" t="str">
        <f>IF(H70="","",IF(LENB(H70)/2&lt;=6,"OK","超過"))</f>
        <v/>
      </c>
      <c r="K70" s="16" t="s">
        <v>110</v>
      </c>
      <c r="L70" s="19" t="s">
        <v>6</v>
      </c>
      <c r="M70" s="19"/>
      <c r="N70" s="6" t="str">
        <f>IF(L70="","",IF(LENB(L70)/2&lt;=6,"OK","超過"))</f>
        <v/>
      </c>
      <c r="O70" s="16" t="s">
        <v>110</v>
      </c>
      <c r="P70" s="19" t="s">
        <v>6</v>
      </c>
      <c r="Q70" s="19"/>
      <c r="R70" s="6" t="str">
        <f>IF(P70="","",IF(LENB(P70)/2&lt;=6,"OK","超過"))</f>
        <v/>
      </c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</row>
    <row r="71" spans="1:33" ht="21.95" customHeight="1" x14ac:dyDescent="0.25">
      <c r="A71" s="31"/>
      <c r="B71" s="29"/>
      <c r="C71" s="17" t="s">
        <v>6</v>
      </c>
      <c r="D71" s="30" t="s">
        <v>6</v>
      </c>
      <c r="E71" s="30"/>
      <c r="F71" s="17" t="s">
        <v>6</v>
      </c>
      <c r="G71" s="17" t="s">
        <v>6</v>
      </c>
      <c r="H71" s="30" t="s">
        <v>6</v>
      </c>
      <c r="I71" s="30"/>
      <c r="J71" s="17" t="s">
        <v>6</v>
      </c>
      <c r="K71" s="17" t="s">
        <v>6</v>
      </c>
      <c r="L71" s="30" t="s">
        <v>6</v>
      </c>
      <c r="M71" s="30"/>
      <c r="N71" s="17" t="s">
        <v>6</v>
      </c>
      <c r="O71" s="17" t="s">
        <v>6</v>
      </c>
      <c r="P71" s="30" t="s">
        <v>6</v>
      </c>
      <c r="Q71" s="30"/>
      <c r="R71" s="17" t="s">
        <v>6</v>
      </c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</row>
    <row r="72" spans="1:33" ht="21.95" customHeight="1" x14ac:dyDescent="0.25">
      <c r="A72" s="31"/>
      <c r="B72" s="29"/>
      <c r="C72" s="17" t="s">
        <v>6</v>
      </c>
      <c r="D72" s="30" t="s">
        <v>6</v>
      </c>
      <c r="E72" s="30"/>
      <c r="F72" s="17" t="s">
        <v>6</v>
      </c>
      <c r="G72" s="17" t="s">
        <v>6</v>
      </c>
      <c r="H72" s="30" t="s">
        <v>6</v>
      </c>
      <c r="I72" s="30"/>
      <c r="J72" s="17" t="s">
        <v>6</v>
      </c>
      <c r="K72" s="17" t="s">
        <v>6</v>
      </c>
      <c r="L72" s="30" t="s">
        <v>6</v>
      </c>
      <c r="M72" s="30"/>
      <c r="N72" s="17" t="s">
        <v>6</v>
      </c>
      <c r="O72" s="17" t="s">
        <v>6</v>
      </c>
      <c r="P72" s="30" t="s">
        <v>6</v>
      </c>
      <c r="Q72" s="30"/>
      <c r="R72" s="17" t="s">
        <v>6</v>
      </c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</row>
    <row r="73" spans="1:33" ht="21" customHeight="1" x14ac:dyDescent="0.25">
      <c r="A73" s="31"/>
      <c r="B73" s="29"/>
      <c r="C73" s="23" t="s">
        <v>131</v>
      </c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</row>
    <row r="75" spans="1:33" ht="23.1" customHeight="1" x14ac:dyDescent="0.25">
      <c r="A75" s="31" t="s">
        <v>67</v>
      </c>
      <c r="B75" s="29" t="s">
        <v>132</v>
      </c>
      <c r="C75" s="26" t="s">
        <v>133</v>
      </c>
      <c r="D75" s="26"/>
      <c r="E75" s="26"/>
      <c r="F75" s="26"/>
      <c r="G75" s="27" t="s">
        <v>100</v>
      </c>
      <c r="H75" s="27"/>
      <c r="I75" s="27"/>
      <c r="J75" s="27"/>
      <c r="K75" s="27" t="s">
        <v>100</v>
      </c>
      <c r="L75" s="27"/>
      <c r="M75" s="27"/>
      <c r="N75" s="27"/>
      <c r="O75" s="27" t="s">
        <v>100</v>
      </c>
      <c r="P75" s="27"/>
      <c r="Q75" s="27"/>
      <c r="R75" s="27"/>
      <c r="T75" s="14" t="s">
        <v>88</v>
      </c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</row>
    <row r="76" spans="1:33" ht="21.95" customHeight="1" x14ac:dyDescent="0.25">
      <c r="A76" s="31"/>
      <c r="B76" s="29"/>
      <c r="C76" s="16" t="s">
        <v>101</v>
      </c>
      <c r="D76" s="19" t="s">
        <v>6</v>
      </c>
      <c r="E76" s="19"/>
      <c r="F76" s="6" t="str">
        <f>IF(D76="","",IF(LENB(D76)/2&lt;=6,"OK","超過"))</f>
        <v/>
      </c>
      <c r="G76" s="17" t="s">
        <v>6</v>
      </c>
      <c r="H76" s="30" t="s">
        <v>6</v>
      </c>
      <c r="I76" s="30"/>
      <c r="J76" s="17" t="s">
        <v>6</v>
      </c>
      <c r="K76" s="17" t="s">
        <v>6</v>
      </c>
      <c r="L76" s="30" t="s">
        <v>6</v>
      </c>
      <c r="M76" s="30"/>
      <c r="N76" s="17" t="s">
        <v>6</v>
      </c>
      <c r="O76" s="17" t="s">
        <v>6</v>
      </c>
      <c r="P76" s="30" t="s">
        <v>6</v>
      </c>
      <c r="Q76" s="30"/>
      <c r="R76" s="17" t="s">
        <v>6</v>
      </c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</row>
    <row r="77" spans="1:33" ht="21.95" customHeight="1" x14ac:dyDescent="0.25">
      <c r="A77" s="31"/>
      <c r="B77" s="29"/>
      <c r="C77" s="16" t="s">
        <v>101</v>
      </c>
      <c r="D77" s="19" t="s">
        <v>6</v>
      </c>
      <c r="E77" s="19"/>
      <c r="F77" s="6" t="str">
        <f>IF(D77="","",IF(LENB(D77)/2&lt;=6,"OK","超過"))</f>
        <v/>
      </c>
      <c r="G77" s="17" t="s">
        <v>6</v>
      </c>
      <c r="H77" s="30" t="s">
        <v>6</v>
      </c>
      <c r="I77" s="30"/>
      <c r="J77" s="17" t="s">
        <v>6</v>
      </c>
      <c r="K77" s="17" t="s">
        <v>6</v>
      </c>
      <c r="L77" s="30" t="s">
        <v>6</v>
      </c>
      <c r="M77" s="30"/>
      <c r="N77" s="17" t="s">
        <v>6</v>
      </c>
      <c r="O77" s="17" t="s">
        <v>6</v>
      </c>
      <c r="P77" s="30" t="s">
        <v>6</v>
      </c>
      <c r="Q77" s="30"/>
      <c r="R77" s="17" t="s">
        <v>6</v>
      </c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</row>
    <row r="78" spans="1:33" ht="21.95" customHeight="1" x14ac:dyDescent="0.25">
      <c r="A78" s="31"/>
      <c r="B78" s="29"/>
      <c r="C78" s="16" t="s">
        <v>134</v>
      </c>
      <c r="D78" s="19" t="s">
        <v>6</v>
      </c>
      <c r="E78" s="19"/>
      <c r="F78" s="6" t="str">
        <f>IF(D78="","",IF(LENB(D78)/2&lt;=4,"OK","超過"))</f>
        <v/>
      </c>
      <c r="G78" s="17" t="s">
        <v>6</v>
      </c>
      <c r="H78" s="30" t="s">
        <v>6</v>
      </c>
      <c r="I78" s="30"/>
      <c r="J78" s="17" t="s">
        <v>6</v>
      </c>
      <c r="K78" s="17" t="s">
        <v>6</v>
      </c>
      <c r="L78" s="30" t="s">
        <v>6</v>
      </c>
      <c r="M78" s="30"/>
      <c r="N78" s="17" t="s">
        <v>6</v>
      </c>
      <c r="O78" s="17" t="s">
        <v>6</v>
      </c>
      <c r="P78" s="30" t="s">
        <v>6</v>
      </c>
      <c r="Q78" s="30"/>
      <c r="R78" s="17" t="s">
        <v>6</v>
      </c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</row>
    <row r="79" spans="1:33" ht="21.95" customHeight="1" x14ac:dyDescent="0.25">
      <c r="A79" s="31"/>
      <c r="B79" s="29"/>
      <c r="C79" s="16" t="s">
        <v>134</v>
      </c>
      <c r="D79" s="19" t="s">
        <v>6</v>
      </c>
      <c r="E79" s="19"/>
      <c r="F79" s="6" t="str">
        <f>IF(D79="","",IF(LENB(D79)/2&lt;=4,"OK","超過"))</f>
        <v/>
      </c>
      <c r="G79" s="17" t="s">
        <v>6</v>
      </c>
      <c r="H79" s="30" t="s">
        <v>6</v>
      </c>
      <c r="I79" s="30"/>
      <c r="J79" s="17" t="s">
        <v>6</v>
      </c>
      <c r="K79" s="17" t="s">
        <v>6</v>
      </c>
      <c r="L79" s="30" t="s">
        <v>6</v>
      </c>
      <c r="M79" s="30"/>
      <c r="N79" s="17" t="s">
        <v>6</v>
      </c>
      <c r="O79" s="17" t="s">
        <v>6</v>
      </c>
      <c r="P79" s="30" t="s">
        <v>6</v>
      </c>
      <c r="Q79" s="30"/>
      <c r="R79" s="17" t="s">
        <v>6</v>
      </c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</row>
    <row r="80" spans="1:33" ht="21.95" customHeight="1" x14ac:dyDescent="0.25">
      <c r="A80" s="31"/>
      <c r="B80" s="29"/>
      <c r="C80" s="16" t="s">
        <v>125</v>
      </c>
      <c r="D80" s="19" t="s">
        <v>6</v>
      </c>
      <c r="E80" s="19"/>
      <c r="F80" s="6" t="str">
        <f>IF(D80="","待填","OK")</f>
        <v>待填</v>
      </c>
      <c r="G80" s="17" t="s">
        <v>6</v>
      </c>
      <c r="H80" s="30" t="s">
        <v>6</v>
      </c>
      <c r="I80" s="30"/>
      <c r="J80" s="17" t="s">
        <v>6</v>
      </c>
      <c r="K80" s="17" t="s">
        <v>6</v>
      </c>
      <c r="L80" s="30" t="s">
        <v>6</v>
      </c>
      <c r="M80" s="30"/>
      <c r="N80" s="17" t="s">
        <v>6</v>
      </c>
      <c r="O80" s="17" t="s">
        <v>6</v>
      </c>
      <c r="P80" s="30" t="s">
        <v>6</v>
      </c>
      <c r="Q80" s="30"/>
      <c r="R80" s="17" t="s">
        <v>6</v>
      </c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</row>
    <row r="81" spans="1:33" ht="21.95" customHeight="1" x14ac:dyDescent="0.25">
      <c r="A81" s="31"/>
      <c r="B81" s="29"/>
      <c r="C81" s="16" t="s">
        <v>101</v>
      </c>
      <c r="D81" s="19" t="s">
        <v>6</v>
      </c>
      <c r="E81" s="19"/>
      <c r="F81" s="6" t="str">
        <f>IF(D81="","",IF(LENB(D81)/2&lt;=6,"OK","超過"))</f>
        <v/>
      </c>
      <c r="G81" s="17" t="s">
        <v>6</v>
      </c>
      <c r="H81" s="30" t="s">
        <v>6</v>
      </c>
      <c r="I81" s="30"/>
      <c r="J81" s="17" t="s">
        <v>6</v>
      </c>
      <c r="K81" s="17" t="s">
        <v>6</v>
      </c>
      <c r="L81" s="30" t="s">
        <v>6</v>
      </c>
      <c r="M81" s="30"/>
      <c r="N81" s="17" t="s">
        <v>6</v>
      </c>
      <c r="O81" s="17" t="s">
        <v>6</v>
      </c>
      <c r="P81" s="30" t="s">
        <v>6</v>
      </c>
      <c r="Q81" s="30"/>
      <c r="R81" s="17" t="s">
        <v>6</v>
      </c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</row>
    <row r="82" spans="1:33" ht="21.95" customHeight="1" x14ac:dyDescent="0.25">
      <c r="A82" s="31"/>
      <c r="B82" s="29"/>
      <c r="C82" s="16" t="s">
        <v>101</v>
      </c>
      <c r="D82" s="19" t="s">
        <v>6</v>
      </c>
      <c r="E82" s="19"/>
      <c r="F82" s="6" t="str">
        <f>IF(D82="","",IF(LENB(D82)/2&lt;=6,"OK","超過"))</f>
        <v/>
      </c>
      <c r="G82" s="17" t="s">
        <v>6</v>
      </c>
      <c r="H82" s="30" t="s">
        <v>6</v>
      </c>
      <c r="I82" s="30"/>
      <c r="J82" s="17" t="s">
        <v>6</v>
      </c>
      <c r="K82" s="17" t="s">
        <v>6</v>
      </c>
      <c r="L82" s="30" t="s">
        <v>6</v>
      </c>
      <c r="M82" s="30"/>
      <c r="N82" s="17" t="s">
        <v>6</v>
      </c>
      <c r="O82" s="17" t="s">
        <v>6</v>
      </c>
      <c r="P82" s="30" t="s">
        <v>6</v>
      </c>
      <c r="Q82" s="30"/>
      <c r="R82" s="17" t="s">
        <v>6</v>
      </c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</row>
    <row r="83" spans="1:33" ht="21.95" customHeight="1" x14ac:dyDescent="0.25">
      <c r="A83" s="31"/>
      <c r="B83" s="29"/>
      <c r="C83" s="16" t="s">
        <v>134</v>
      </c>
      <c r="D83" s="19" t="s">
        <v>6</v>
      </c>
      <c r="E83" s="19"/>
      <c r="F83" s="6" t="str">
        <f>IF(D83="","",IF(LENB(D83)/2&lt;=4,"OK","超過"))</f>
        <v/>
      </c>
      <c r="G83" s="17" t="s">
        <v>6</v>
      </c>
      <c r="H83" s="30" t="s">
        <v>6</v>
      </c>
      <c r="I83" s="30"/>
      <c r="J83" s="17" t="s">
        <v>6</v>
      </c>
      <c r="K83" s="17" t="s">
        <v>6</v>
      </c>
      <c r="L83" s="30" t="s">
        <v>6</v>
      </c>
      <c r="M83" s="30"/>
      <c r="N83" s="17" t="s">
        <v>6</v>
      </c>
      <c r="O83" s="17" t="s">
        <v>6</v>
      </c>
      <c r="P83" s="30" t="s">
        <v>6</v>
      </c>
      <c r="Q83" s="30"/>
      <c r="R83" s="17" t="s">
        <v>6</v>
      </c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</row>
    <row r="84" spans="1:33" ht="21.95" customHeight="1" x14ac:dyDescent="0.25">
      <c r="A84" s="31"/>
      <c r="B84" s="29"/>
      <c r="C84" s="16" t="s">
        <v>134</v>
      </c>
      <c r="D84" s="19" t="s">
        <v>6</v>
      </c>
      <c r="E84" s="19"/>
      <c r="F84" s="6" t="str">
        <f>IF(D84="","",IF(LENB(D84)/2&lt;=4,"OK","超過"))</f>
        <v/>
      </c>
      <c r="G84" s="17" t="s">
        <v>6</v>
      </c>
      <c r="H84" s="30" t="s">
        <v>6</v>
      </c>
      <c r="I84" s="30"/>
      <c r="J84" s="17" t="s">
        <v>6</v>
      </c>
      <c r="K84" s="17" t="s">
        <v>6</v>
      </c>
      <c r="L84" s="30" t="s">
        <v>6</v>
      </c>
      <c r="M84" s="30"/>
      <c r="N84" s="17" t="s">
        <v>6</v>
      </c>
      <c r="O84" s="17" t="s">
        <v>6</v>
      </c>
      <c r="P84" s="30" t="s">
        <v>6</v>
      </c>
      <c r="Q84" s="30"/>
      <c r="R84" s="17" t="s">
        <v>6</v>
      </c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</row>
    <row r="85" spans="1:33" ht="21.95" customHeight="1" x14ac:dyDescent="0.25">
      <c r="A85" s="31"/>
      <c r="B85" s="29"/>
      <c r="C85" s="16" t="s">
        <v>125</v>
      </c>
      <c r="D85" s="19" t="s">
        <v>6</v>
      </c>
      <c r="E85" s="19"/>
      <c r="F85" s="6" t="str">
        <f>IF(D85="","待填","OK")</f>
        <v>待填</v>
      </c>
      <c r="G85" s="17" t="s">
        <v>6</v>
      </c>
      <c r="H85" s="30" t="s">
        <v>6</v>
      </c>
      <c r="I85" s="30"/>
      <c r="J85" s="17" t="s">
        <v>6</v>
      </c>
      <c r="K85" s="17" t="s">
        <v>6</v>
      </c>
      <c r="L85" s="30" t="s">
        <v>6</v>
      </c>
      <c r="M85" s="30"/>
      <c r="N85" s="17" t="s">
        <v>6</v>
      </c>
      <c r="O85" s="17" t="s">
        <v>6</v>
      </c>
      <c r="P85" s="30" t="s">
        <v>6</v>
      </c>
      <c r="Q85" s="30"/>
      <c r="R85" s="17" t="s">
        <v>6</v>
      </c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</row>
    <row r="86" spans="1:33" ht="21.95" customHeight="1" x14ac:dyDescent="0.25">
      <c r="A86" s="31"/>
      <c r="B86" s="29"/>
      <c r="C86" s="16" t="s">
        <v>101</v>
      </c>
      <c r="D86" s="19" t="s">
        <v>6</v>
      </c>
      <c r="E86" s="19"/>
      <c r="F86" s="6" t="str">
        <f>IF(D86="","",IF(LENB(D86)/2&lt;=6,"OK","超過"))</f>
        <v/>
      </c>
      <c r="G86" s="17" t="s">
        <v>6</v>
      </c>
      <c r="H86" s="30" t="s">
        <v>6</v>
      </c>
      <c r="I86" s="30"/>
      <c r="J86" s="17" t="s">
        <v>6</v>
      </c>
      <c r="K86" s="17" t="s">
        <v>6</v>
      </c>
      <c r="L86" s="30" t="s">
        <v>6</v>
      </c>
      <c r="M86" s="30"/>
      <c r="N86" s="17" t="s">
        <v>6</v>
      </c>
      <c r="O86" s="17" t="s">
        <v>6</v>
      </c>
      <c r="P86" s="30" t="s">
        <v>6</v>
      </c>
      <c r="Q86" s="30"/>
      <c r="R86" s="17" t="s">
        <v>6</v>
      </c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</row>
    <row r="87" spans="1:33" ht="21.95" customHeight="1" x14ac:dyDescent="0.25">
      <c r="A87" s="31"/>
      <c r="B87" s="29"/>
      <c r="C87" s="16" t="s">
        <v>101</v>
      </c>
      <c r="D87" s="19" t="s">
        <v>6</v>
      </c>
      <c r="E87" s="19"/>
      <c r="F87" s="6" t="str">
        <f>IF(D87="","",IF(LENB(D87)/2&lt;=6,"OK","超過"))</f>
        <v/>
      </c>
      <c r="G87" s="17" t="s">
        <v>6</v>
      </c>
      <c r="H87" s="30" t="s">
        <v>6</v>
      </c>
      <c r="I87" s="30"/>
      <c r="J87" s="17" t="s">
        <v>6</v>
      </c>
      <c r="K87" s="17" t="s">
        <v>6</v>
      </c>
      <c r="L87" s="30" t="s">
        <v>6</v>
      </c>
      <c r="M87" s="30"/>
      <c r="N87" s="17" t="s">
        <v>6</v>
      </c>
      <c r="O87" s="17" t="s">
        <v>6</v>
      </c>
      <c r="P87" s="30" t="s">
        <v>6</v>
      </c>
      <c r="Q87" s="30"/>
      <c r="R87" s="17" t="s">
        <v>6</v>
      </c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</row>
    <row r="88" spans="1:33" ht="21.95" customHeight="1" x14ac:dyDescent="0.25">
      <c r="A88" s="31"/>
      <c r="B88" s="29"/>
      <c r="C88" s="16" t="s">
        <v>135</v>
      </c>
      <c r="D88" s="19" t="s">
        <v>6</v>
      </c>
      <c r="E88" s="19"/>
      <c r="F88" s="6" t="str">
        <f>IF(D88="","待填","OK")</f>
        <v>待填</v>
      </c>
      <c r="G88" s="17" t="s">
        <v>6</v>
      </c>
      <c r="H88" s="30" t="s">
        <v>6</v>
      </c>
      <c r="I88" s="30"/>
      <c r="J88" s="17" t="s">
        <v>6</v>
      </c>
      <c r="K88" s="17" t="s">
        <v>6</v>
      </c>
      <c r="L88" s="30" t="s">
        <v>6</v>
      </c>
      <c r="M88" s="30"/>
      <c r="N88" s="17" t="s">
        <v>6</v>
      </c>
      <c r="O88" s="17" t="s">
        <v>6</v>
      </c>
      <c r="P88" s="30" t="s">
        <v>6</v>
      </c>
      <c r="Q88" s="30"/>
      <c r="R88" s="17" t="s">
        <v>6</v>
      </c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</row>
    <row r="89" spans="1:33" ht="21.95" customHeight="1" x14ac:dyDescent="0.25">
      <c r="A89" s="31"/>
      <c r="B89" s="29"/>
      <c r="C89" s="16" t="s">
        <v>125</v>
      </c>
      <c r="D89" s="19" t="s">
        <v>6</v>
      </c>
      <c r="E89" s="19"/>
      <c r="F89" s="6" t="str">
        <f>IF(D89="","待填","OK")</f>
        <v>待填</v>
      </c>
      <c r="G89" s="17" t="s">
        <v>6</v>
      </c>
      <c r="H89" s="30" t="s">
        <v>6</v>
      </c>
      <c r="I89" s="30"/>
      <c r="J89" s="17" t="s">
        <v>6</v>
      </c>
      <c r="K89" s="17" t="s">
        <v>6</v>
      </c>
      <c r="L89" s="30" t="s">
        <v>6</v>
      </c>
      <c r="M89" s="30"/>
      <c r="N89" s="17" t="s">
        <v>6</v>
      </c>
      <c r="O89" s="17" t="s">
        <v>6</v>
      </c>
      <c r="P89" s="30" t="s">
        <v>6</v>
      </c>
      <c r="Q89" s="30"/>
      <c r="R89" s="17" t="s">
        <v>6</v>
      </c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</row>
    <row r="90" spans="1:33" ht="21" customHeight="1" x14ac:dyDescent="0.25">
      <c r="A90" s="31"/>
      <c r="B90" s="29"/>
      <c r="C90" s="23" t="s">
        <v>136</v>
      </c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</row>
  </sheetData>
  <sheetProtection sheet="1" autoFilter="0"/>
  <autoFilter ref="A1:AG1" xr:uid="{00000000-0009-0000-0000-000001000000}"/>
  <mergeCells count="317">
    <mergeCell ref="C90:R90"/>
    <mergeCell ref="D87:E87"/>
    <mergeCell ref="H87:I87"/>
    <mergeCell ref="L87:M87"/>
    <mergeCell ref="P87:Q87"/>
    <mergeCell ref="D88:E88"/>
    <mergeCell ref="H88:I88"/>
    <mergeCell ref="L88:M88"/>
    <mergeCell ref="P88:Q88"/>
    <mergeCell ref="D89:E89"/>
    <mergeCell ref="H89:I89"/>
    <mergeCell ref="L89:M89"/>
    <mergeCell ref="P89:Q89"/>
    <mergeCell ref="D84:E84"/>
    <mergeCell ref="H84:I84"/>
    <mergeCell ref="L84:M84"/>
    <mergeCell ref="P84:Q84"/>
    <mergeCell ref="D85:E85"/>
    <mergeCell ref="H85:I85"/>
    <mergeCell ref="L85:M85"/>
    <mergeCell ref="P85:Q85"/>
    <mergeCell ref="D86:E86"/>
    <mergeCell ref="H86:I86"/>
    <mergeCell ref="L86:M86"/>
    <mergeCell ref="P86:Q86"/>
    <mergeCell ref="L81:M81"/>
    <mergeCell ref="P81:Q81"/>
    <mergeCell ref="D82:E82"/>
    <mergeCell ref="H82:I82"/>
    <mergeCell ref="L82:M82"/>
    <mergeCell ref="P82:Q82"/>
    <mergeCell ref="D83:E83"/>
    <mergeCell ref="H83:I83"/>
    <mergeCell ref="L83:M83"/>
    <mergeCell ref="P83:Q83"/>
    <mergeCell ref="A75:A90"/>
    <mergeCell ref="B75:B90"/>
    <mergeCell ref="D76:E76"/>
    <mergeCell ref="H76:I76"/>
    <mergeCell ref="L76:M76"/>
    <mergeCell ref="P76:Q76"/>
    <mergeCell ref="D77:E77"/>
    <mergeCell ref="H77:I77"/>
    <mergeCell ref="L77:M77"/>
    <mergeCell ref="P77:Q77"/>
    <mergeCell ref="D78:E78"/>
    <mergeCell ref="H78:I78"/>
    <mergeCell ref="L78:M78"/>
    <mergeCell ref="P78:Q78"/>
    <mergeCell ref="D79:E79"/>
    <mergeCell ref="H79:I79"/>
    <mergeCell ref="L79:M79"/>
    <mergeCell ref="P79:Q79"/>
    <mergeCell ref="D80:E80"/>
    <mergeCell ref="H80:I80"/>
    <mergeCell ref="L80:M80"/>
    <mergeCell ref="P80:Q80"/>
    <mergeCell ref="D81:E81"/>
    <mergeCell ref="H81:I81"/>
    <mergeCell ref="H71:I71"/>
    <mergeCell ref="L71:M71"/>
    <mergeCell ref="P71:Q71"/>
    <mergeCell ref="D72:E72"/>
    <mergeCell ref="H72:I72"/>
    <mergeCell ref="L72:M72"/>
    <mergeCell ref="P72:Q72"/>
    <mergeCell ref="C73:R73"/>
    <mergeCell ref="C75:F75"/>
    <mergeCell ref="G75:J75"/>
    <mergeCell ref="K75:N75"/>
    <mergeCell ref="O75:R75"/>
    <mergeCell ref="C64:R64"/>
    <mergeCell ref="C66:F66"/>
    <mergeCell ref="G66:J66"/>
    <mergeCell ref="K66:N66"/>
    <mergeCell ref="O66:R66"/>
    <mergeCell ref="A66:A73"/>
    <mergeCell ref="B66:B73"/>
    <mergeCell ref="D67:E67"/>
    <mergeCell ref="H67:I67"/>
    <mergeCell ref="L67:M67"/>
    <mergeCell ref="P67:Q67"/>
    <mergeCell ref="D68:E68"/>
    <mergeCell ref="H68:I68"/>
    <mergeCell ref="L68:M68"/>
    <mergeCell ref="P68:Q68"/>
    <mergeCell ref="D69:E69"/>
    <mergeCell ref="H69:I69"/>
    <mergeCell ref="L69:M69"/>
    <mergeCell ref="P69:Q69"/>
    <mergeCell ref="D70:E70"/>
    <mergeCell ref="H70:I70"/>
    <mergeCell ref="L70:M70"/>
    <mergeCell ref="P70:Q70"/>
    <mergeCell ref="D71:E71"/>
    <mergeCell ref="P61:Q61"/>
    <mergeCell ref="D62:E62"/>
    <mergeCell ref="H62:I62"/>
    <mergeCell ref="L62:M62"/>
    <mergeCell ref="P62:Q62"/>
    <mergeCell ref="D63:E63"/>
    <mergeCell ref="H63:I63"/>
    <mergeCell ref="L63:M63"/>
    <mergeCell ref="P63:Q63"/>
    <mergeCell ref="L54:M54"/>
    <mergeCell ref="P54:Q54"/>
    <mergeCell ref="C55:R55"/>
    <mergeCell ref="C57:F57"/>
    <mergeCell ref="G57:J57"/>
    <mergeCell ref="K57:N57"/>
    <mergeCell ref="O57:R57"/>
    <mergeCell ref="A57:A64"/>
    <mergeCell ref="B57:B64"/>
    <mergeCell ref="D58:E58"/>
    <mergeCell ref="H58:I58"/>
    <mergeCell ref="L58:M58"/>
    <mergeCell ref="P58:Q58"/>
    <mergeCell ref="D59:E59"/>
    <mergeCell ref="H59:I59"/>
    <mergeCell ref="L59:M59"/>
    <mergeCell ref="P59:Q59"/>
    <mergeCell ref="D60:E60"/>
    <mergeCell ref="H60:I60"/>
    <mergeCell ref="L60:M60"/>
    <mergeCell ref="P60:Q60"/>
    <mergeCell ref="D61:E61"/>
    <mergeCell ref="H61:I61"/>
    <mergeCell ref="L61:M61"/>
    <mergeCell ref="A48:A55"/>
    <mergeCell ref="B48:B55"/>
    <mergeCell ref="D49:E49"/>
    <mergeCell ref="H49:I49"/>
    <mergeCell ref="L49:M49"/>
    <mergeCell ref="P49:Q49"/>
    <mergeCell ref="D50:E50"/>
    <mergeCell ref="H50:I50"/>
    <mergeCell ref="L50:M50"/>
    <mergeCell ref="P50:Q50"/>
    <mergeCell ref="D51:E51"/>
    <mergeCell ref="H51:I51"/>
    <mergeCell ref="L51:M51"/>
    <mergeCell ref="P51:Q51"/>
    <mergeCell ref="D52:E52"/>
    <mergeCell ref="H52:I52"/>
    <mergeCell ref="L52:M52"/>
    <mergeCell ref="P52:Q52"/>
    <mergeCell ref="D53:E53"/>
    <mergeCell ref="H53:I53"/>
    <mergeCell ref="L53:M53"/>
    <mergeCell ref="P53:Q53"/>
    <mergeCell ref="D54:E54"/>
    <mergeCell ref="H54:I54"/>
    <mergeCell ref="H44:I44"/>
    <mergeCell ref="L44:M44"/>
    <mergeCell ref="P44:Q44"/>
    <mergeCell ref="D45:E45"/>
    <mergeCell ref="H45:I45"/>
    <mergeCell ref="L45:M45"/>
    <mergeCell ref="P45:Q45"/>
    <mergeCell ref="C46:R46"/>
    <mergeCell ref="C48:F48"/>
    <mergeCell ref="G48:J48"/>
    <mergeCell ref="K48:N48"/>
    <mergeCell ref="O48:R48"/>
    <mergeCell ref="C37:R37"/>
    <mergeCell ref="C39:F39"/>
    <mergeCell ref="G39:J39"/>
    <mergeCell ref="K39:N39"/>
    <mergeCell ref="O39:R39"/>
    <mergeCell ref="A39:A46"/>
    <mergeCell ref="B39:B46"/>
    <mergeCell ref="D40:E40"/>
    <mergeCell ref="H40:I40"/>
    <mergeCell ref="L40:M40"/>
    <mergeCell ref="P40:Q40"/>
    <mergeCell ref="D41:E41"/>
    <mergeCell ref="H41:I41"/>
    <mergeCell ref="L41:M41"/>
    <mergeCell ref="P41:Q41"/>
    <mergeCell ref="D42:E42"/>
    <mergeCell ref="H42:I42"/>
    <mergeCell ref="L42:M42"/>
    <mergeCell ref="P42:Q42"/>
    <mergeCell ref="D43:E43"/>
    <mergeCell ref="H43:I43"/>
    <mergeCell ref="L43:M43"/>
    <mergeCell ref="P43:Q43"/>
    <mergeCell ref="D44:E44"/>
    <mergeCell ref="P34:Q34"/>
    <mergeCell ref="D35:E35"/>
    <mergeCell ref="H35:I35"/>
    <mergeCell ref="L35:M35"/>
    <mergeCell ref="P35:Q35"/>
    <mergeCell ref="D36:E36"/>
    <mergeCell ref="H36:I36"/>
    <mergeCell ref="L36:M36"/>
    <mergeCell ref="P36:Q36"/>
    <mergeCell ref="L27:M27"/>
    <mergeCell ref="P27:Q27"/>
    <mergeCell ref="C28:R28"/>
    <mergeCell ref="C30:F30"/>
    <mergeCell ref="G30:J30"/>
    <mergeCell ref="K30:N30"/>
    <mergeCell ref="O30:R30"/>
    <mergeCell ref="A30:A37"/>
    <mergeCell ref="B30:B37"/>
    <mergeCell ref="D31:E31"/>
    <mergeCell ref="H31:I31"/>
    <mergeCell ref="L31:M31"/>
    <mergeCell ref="P31:Q31"/>
    <mergeCell ref="D32:E32"/>
    <mergeCell ref="H32:I32"/>
    <mergeCell ref="L32:M32"/>
    <mergeCell ref="P32:Q32"/>
    <mergeCell ref="D33:E33"/>
    <mergeCell ref="H33:I33"/>
    <mergeCell ref="L33:M33"/>
    <mergeCell ref="P33:Q33"/>
    <mergeCell ref="D34:E34"/>
    <mergeCell ref="H34:I34"/>
    <mergeCell ref="L34:M34"/>
    <mergeCell ref="A21:A28"/>
    <mergeCell ref="B21:B28"/>
    <mergeCell ref="D22:E22"/>
    <mergeCell ref="H22:I22"/>
    <mergeCell ref="L22:M22"/>
    <mergeCell ref="P22:Q22"/>
    <mergeCell ref="D23:E23"/>
    <mergeCell ref="H23:I23"/>
    <mergeCell ref="L23:M23"/>
    <mergeCell ref="P23:Q23"/>
    <mergeCell ref="D24:E24"/>
    <mergeCell ref="H24:I24"/>
    <mergeCell ref="L24:M24"/>
    <mergeCell ref="P24:Q24"/>
    <mergeCell ref="D25:E25"/>
    <mergeCell ref="H25:I25"/>
    <mergeCell ref="L25:M25"/>
    <mergeCell ref="P25:Q25"/>
    <mergeCell ref="D26:E26"/>
    <mergeCell ref="H26:I26"/>
    <mergeCell ref="L26:M26"/>
    <mergeCell ref="P26:Q26"/>
    <mergeCell ref="D27:E27"/>
    <mergeCell ref="H27:I27"/>
    <mergeCell ref="H17:I17"/>
    <mergeCell ref="L17:M17"/>
    <mergeCell ref="P17:Q17"/>
    <mergeCell ref="D18:E18"/>
    <mergeCell ref="H18:I18"/>
    <mergeCell ref="L18:M18"/>
    <mergeCell ref="P18:Q18"/>
    <mergeCell ref="C19:R19"/>
    <mergeCell ref="C21:F21"/>
    <mergeCell ref="G21:J21"/>
    <mergeCell ref="K21:N21"/>
    <mergeCell ref="O21:R21"/>
    <mergeCell ref="C10:R10"/>
    <mergeCell ref="C12:F12"/>
    <mergeCell ref="G12:J12"/>
    <mergeCell ref="K12:N12"/>
    <mergeCell ref="O12:R12"/>
    <mergeCell ref="A12:A19"/>
    <mergeCell ref="B12:B19"/>
    <mergeCell ref="D13:E13"/>
    <mergeCell ref="H13:I13"/>
    <mergeCell ref="L13:M13"/>
    <mergeCell ref="P13:Q13"/>
    <mergeCell ref="D14:E14"/>
    <mergeCell ref="H14:I14"/>
    <mergeCell ref="L14:M14"/>
    <mergeCell ref="P14:Q14"/>
    <mergeCell ref="D15:E15"/>
    <mergeCell ref="H15:I15"/>
    <mergeCell ref="L15:M15"/>
    <mergeCell ref="P15:Q15"/>
    <mergeCell ref="D16:E16"/>
    <mergeCell ref="H16:I16"/>
    <mergeCell ref="L16:M16"/>
    <mergeCell ref="P16:Q16"/>
    <mergeCell ref="D17:E17"/>
    <mergeCell ref="D7:E7"/>
    <mergeCell ref="H7:I7"/>
    <mergeCell ref="L7:M7"/>
    <mergeCell ref="P7:Q7"/>
    <mergeCell ref="D8:E8"/>
    <mergeCell ref="H8:I8"/>
    <mergeCell ref="L8:M8"/>
    <mergeCell ref="P8:Q8"/>
    <mergeCell ref="D9:E9"/>
    <mergeCell ref="H9:I9"/>
    <mergeCell ref="L9:M9"/>
    <mergeCell ref="P9:Q9"/>
    <mergeCell ref="C1:R1"/>
    <mergeCell ref="T1:AG1"/>
    <mergeCell ref="A1:A2"/>
    <mergeCell ref="B1:B2"/>
    <mergeCell ref="C2:R2"/>
    <mergeCell ref="T2:AG2"/>
    <mergeCell ref="C3:F3"/>
    <mergeCell ref="G3:J3"/>
    <mergeCell ref="K3:N3"/>
    <mergeCell ref="O3:R3"/>
    <mergeCell ref="A3:A10"/>
    <mergeCell ref="B3:B10"/>
    <mergeCell ref="D4:E4"/>
    <mergeCell ref="H4:I4"/>
    <mergeCell ref="L4:M4"/>
    <mergeCell ref="P4:Q4"/>
    <mergeCell ref="D5:E5"/>
    <mergeCell ref="H5:I5"/>
    <mergeCell ref="L5:M5"/>
    <mergeCell ref="P5:Q5"/>
    <mergeCell ref="D6:E6"/>
    <mergeCell ref="H6:I6"/>
    <mergeCell ref="L6:M6"/>
    <mergeCell ref="P6:Q6"/>
  </mergeCells>
  <phoneticPr fontId="18" type="noConversion"/>
  <conditionalFormatting sqref="D4">
    <cfRule type="expression" dxfId="82" priority="1">
      <formula>LENB(D4)/2&gt;8</formula>
    </cfRule>
  </conditionalFormatting>
  <conditionalFormatting sqref="D7">
    <cfRule type="expression" dxfId="81" priority="8">
      <formula>LENB(D7)/2&gt;8</formula>
    </cfRule>
  </conditionalFormatting>
  <conditionalFormatting sqref="D13">
    <cfRule type="expression" dxfId="80" priority="11">
      <formula>LENB(D13)/2&gt;8</formula>
    </cfRule>
  </conditionalFormatting>
  <conditionalFormatting sqref="D16">
    <cfRule type="expression" dxfId="79" priority="18">
      <formula>LENB(D16)/2&gt;8</formula>
    </cfRule>
  </conditionalFormatting>
  <conditionalFormatting sqref="D17">
    <cfRule type="expression" dxfId="78" priority="21">
      <formula>LENB(D17)/2&gt;5</formula>
    </cfRule>
  </conditionalFormatting>
  <conditionalFormatting sqref="D22">
    <cfRule type="expression" dxfId="77" priority="24">
      <formula>LENB(D22)/2&gt;8</formula>
    </cfRule>
  </conditionalFormatting>
  <conditionalFormatting sqref="D25">
    <cfRule type="expression" dxfId="76" priority="31">
      <formula>LENB(D25)/2&gt;4</formula>
    </cfRule>
  </conditionalFormatting>
  <conditionalFormatting sqref="D26">
    <cfRule type="expression" dxfId="75" priority="34">
      <formula>LENB(D26)/2&gt;5</formula>
    </cfRule>
  </conditionalFormatting>
  <conditionalFormatting sqref="D27">
    <cfRule type="expression" dxfId="74" priority="37">
      <formula>LENB(D27)/2&gt;3</formula>
    </cfRule>
  </conditionalFormatting>
  <conditionalFormatting sqref="D31">
    <cfRule type="expression" dxfId="73" priority="40">
      <formula>LENB(D31)/2&gt;6</formula>
    </cfRule>
  </conditionalFormatting>
  <conditionalFormatting sqref="D33:D34">
    <cfRule type="expression" dxfId="72" priority="45">
      <formula>LENB(D33)/2&gt;8</formula>
    </cfRule>
  </conditionalFormatting>
  <conditionalFormatting sqref="D35">
    <cfRule type="expression" dxfId="71" priority="51">
      <formula>LENB(D35)/2&gt;5</formula>
    </cfRule>
  </conditionalFormatting>
  <conditionalFormatting sqref="D42">
    <cfRule type="expression" dxfId="70" priority="72">
      <formula>LENB(D42)/2&gt;5</formula>
    </cfRule>
  </conditionalFormatting>
  <conditionalFormatting sqref="D43">
    <cfRule type="expression" dxfId="69" priority="75">
      <formula>LENB(D43)/2&gt;7</formula>
    </cfRule>
  </conditionalFormatting>
  <conditionalFormatting sqref="D49">
    <cfRule type="expression" dxfId="68" priority="98">
      <formula>LENB(D49)/2&gt;8</formula>
    </cfRule>
  </conditionalFormatting>
  <conditionalFormatting sqref="D51">
    <cfRule type="expression" dxfId="67" priority="103">
      <formula>LENB(D51)/2&gt;10</formula>
    </cfRule>
  </conditionalFormatting>
  <conditionalFormatting sqref="D52">
    <cfRule type="expression" dxfId="66" priority="106">
      <formula>LENB(D52)/2&gt;8</formula>
    </cfRule>
  </conditionalFormatting>
  <conditionalFormatting sqref="D59">
    <cfRule type="expression" dxfId="65" priority="122">
      <formula>LENB(D59)/2&gt;7</formula>
    </cfRule>
  </conditionalFormatting>
  <conditionalFormatting sqref="D67">
    <cfRule type="expression" dxfId="64" priority="141">
      <formula>LENB(D67)/2&gt;5</formula>
    </cfRule>
  </conditionalFormatting>
  <conditionalFormatting sqref="D69">
    <cfRule type="expression" dxfId="63" priority="146">
      <formula>LENB(D69)/2&gt;5</formula>
    </cfRule>
  </conditionalFormatting>
  <conditionalFormatting sqref="D70">
    <cfRule type="expression" dxfId="62" priority="149">
      <formula>LENB(D70)/2&gt;6</formula>
    </cfRule>
  </conditionalFormatting>
  <conditionalFormatting sqref="D76:D77">
    <cfRule type="expression" dxfId="61" priority="185">
      <formula>LENB(D76)/2&gt;6</formula>
    </cfRule>
  </conditionalFormatting>
  <conditionalFormatting sqref="D78:D79">
    <cfRule type="expression" dxfId="60" priority="191">
      <formula>LENB(D78)/2&gt;4</formula>
    </cfRule>
  </conditionalFormatting>
  <conditionalFormatting sqref="D81:D82">
    <cfRule type="expression" dxfId="59" priority="199">
      <formula>LENB(D81)/2&gt;6</formula>
    </cfRule>
  </conditionalFormatting>
  <conditionalFormatting sqref="D83:D84">
    <cfRule type="expression" dxfId="58" priority="205">
      <formula>LENB(D83)/2&gt;4</formula>
    </cfRule>
  </conditionalFormatting>
  <conditionalFormatting sqref="D86:D87">
    <cfRule type="expression" dxfId="57" priority="213">
      <formula>LENB(D86)/2&gt;6</formula>
    </cfRule>
  </conditionalFormatting>
  <conditionalFormatting sqref="F4:F7">
    <cfRule type="expression" dxfId="56" priority="2">
      <formula>F4="超過"</formula>
    </cfRule>
    <cfRule type="expression" dxfId="55" priority="3">
      <formula>F4="OK"</formula>
    </cfRule>
  </conditionalFormatting>
  <conditionalFormatting sqref="F13:F17">
    <cfRule type="expression" dxfId="54" priority="12">
      <formula>F13="超過"</formula>
    </cfRule>
    <cfRule type="expression" dxfId="53" priority="13">
      <formula>F13="OK"</formula>
    </cfRule>
  </conditionalFormatting>
  <conditionalFormatting sqref="F22:F27">
    <cfRule type="expression" dxfId="52" priority="26">
      <formula>F22="OK"</formula>
    </cfRule>
    <cfRule type="expression" dxfId="51" priority="25">
      <formula>F22="超過"</formula>
    </cfRule>
  </conditionalFormatting>
  <conditionalFormatting sqref="F31:F35">
    <cfRule type="expression" dxfId="50" priority="42">
      <formula>F31="OK"</formula>
    </cfRule>
    <cfRule type="expression" dxfId="49" priority="41">
      <formula>F31="超過"</formula>
    </cfRule>
  </conditionalFormatting>
  <conditionalFormatting sqref="F40:F43">
    <cfRule type="expression" dxfId="48" priority="69">
      <formula>F40="OK"</formula>
    </cfRule>
    <cfRule type="expression" dxfId="47" priority="68">
      <formula>F40="超過"</formula>
    </cfRule>
  </conditionalFormatting>
  <conditionalFormatting sqref="F49:F52">
    <cfRule type="expression" dxfId="46" priority="100">
      <formula>F49="OK"</formula>
    </cfRule>
    <cfRule type="expression" dxfId="45" priority="99">
      <formula>F49="超過"</formula>
    </cfRule>
  </conditionalFormatting>
  <conditionalFormatting sqref="F58:F60">
    <cfRule type="expression" dxfId="44" priority="120">
      <formula>F58="超過"</formula>
    </cfRule>
    <cfRule type="expression" dxfId="43" priority="121">
      <formula>F58="OK"</formula>
    </cfRule>
  </conditionalFormatting>
  <conditionalFormatting sqref="F67:F70">
    <cfRule type="expression" dxfId="42" priority="143">
      <formula>F67="OK"</formula>
    </cfRule>
    <cfRule type="expression" dxfId="41" priority="142">
      <formula>F67="超過"</formula>
    </cfRule>
  </conditionalFormatting>
  <conditionalFormatting sqref="F76:F89">
    <cfRule type="expression" dxfId="40" priority="186">
      <formula>F76="超過"</formula>
    </cfRule>
    <cfRule type="expression" dxfId="39" priority="187">
      <formula>F76="OK"</formula>
    </cfRule>
  </conditionalFormatting>
  <conditionalFormatting sqref="H31">
    <cfRule type="expression" dxfId="38" priority="54">
      <formula>LENB(H31)/2&gt;6</formula>
    </cfRule>
  </conditionalFormatting>
  <conditionalFormatting sqref="H33:H34">
    <cfRule type="expression" dxfId="37" priority="59">
      <formula>LENB(H33)/2&gt;8</formula>
    </cfRule>
  </conditionalFormatting>
  <conditionalFormatting sqref="H35">
    <cfRule type="expression" dxfId="36" priority="65">
      <formula>LENB(H35)/2&gt;5</formula>
    </cfRule>
  </conditionalFormatting>
  <conditionalFormatting sqref="H42">
    <cfRule type="expression" dxfId="35" priority="82">
      <formula>LENB(H42)/2&gt;5</formula>
    </cfRule>
  </conditionalFormatting>
  <conditionalFormatting sqref="H43">
    <cfRule type="expression" dxfId="34" priority="85">
      <formula>LENB(H43)/2&gt;7</formula>
    </cfRule>
  </conditionalFormatting>
  <conditionalFormatting sqref="H49">
    <cfRule type="expression" dxfId="33" priority="109">
      <formula>LENB(H49)/2&gt;8</formula>
    </cfRule>
  </conditionalFormatting>
  <conditionalFormatting sqref="H51">
    <cfRule type="expression" dxfId="32" priority="114">
      <formula>LENB(H51)/2&gt;10</formula>
    </cfRule>
  </conditionalFormatting>
  <conditionalFormatting sqref="H52">
    <cfRule type="expression" dxfId="31" priority="117">
      <formula>LENB(H52)/2&gt;8</formula>
    </cfRule>
  </conditionalFormatting>
  <conditionalFormatting sqref="H59">
    <cfRule type="expression" dxfId="30" priority="129">
      <formula>LENB(H59)/2&gt;7</formula>
    </cfRule>
  </conditionalFormatting>
  <conditionalFormatting sqref="H67">
    <cfRule type="expression" dxfId="29" priority="152">
      <formula>LENB(H67)/2&gt;5</formula>
    </cfRule>
  </conditionalFormatting>
  <conditionalFormatting sqref="H69">
    <cfRule type="expression" dxfId="28" priority="157">
      <formula>LENB(H69)/2&gt;5</formula>
    </cfRule>
  </conditionalFormatting>
  <conditionalFormatting sqref="H70">
    <cfRule type="expression" dxfId="27" priority="160">
      <formula>LENB(H70)/2&gt;6</formula>
    </cfRule>
  </conditionalFormatting>
  <conditionalFormatting sqref="J31:J35">
    <cfRule type="expression" dxfId="26" priority="55">
      <formula>J31="超過"</formula>
    </cfRule>
    <cfRule type="expression" dxfId="25" priority="56">
      <formula>J31="OK"</formula>
    </cfRule>
  </conditionalFormatting>
  <conditionalFormatting sqref="J40:J43">
    <cfRule type="expression" dxfId="24" priority="78">
      <formula>J40="超過"</formula>
    </cfRule>
    <cfRule type="expression" dxfId="23" priority="79">
      <formula>J40="OK"</formula>
    </cfRule>
  </conditionalFormatting>
  <conditionalFormatting sqref="J49:J52">
    <cfRule type="expression" dxfId="22" priority="110">
      <formula>J49="超過"</formula>
    </cfRule>
    <cfRule type="expression" dxfId="21" priority="111">
      <formula>J49="OK"</formula>
    </cfRule>
  </conditionalFormatting>
  <conditionalFormatting sqref="J58:J60">
    <cfRule type="expression" dxfId="20" priority="127">
      <formula>J58="超過"</formula>
    </cfRule>
    <cfRule type="expression" dxfId="19" priority="128">
      <formula>J58="OK"</formula>
    </cfRule>
  </conditionalFormatting>
  <conditionalFormatting sqref="J67:J70">
    <cfRule type="expression" dxfId="18" priority="153">
      <formula>J67="超過"</formula>
    </cfRule>
    <cfRule type="expression" dxfId="17" priority="154">
      <formula>J67="OK"</formula>
    </cfRule>
  </conditionalFormatting>
  <conditionalFormatting sqref="L42">
    <cfRule type="expression" dxfId="16" priority="92">
      <formula>LENB(L42)/2&gt;5</formula>
    </cfRule>
  </conditionalFormatting>
  <conditionalFormatting sqref="L43">
    <cfRule type="expression" dxfId="15" priority="95">
      <formula>LENB(L43)/2&gt;7</formula>
    </cfRule>
  </conditionalFormatting>
  <conditionalFormatting sqref="L59">
    <cfRule type="expression" dxfId="14" priority="136">
      <formula>LENB(L59)/2&gt;7</formula>
    </cfRule>
  </conditionalFormatting>
  <conditionalFormatting sqref="L67">
    <cfRule type="expression" dxfId="13" priority="163">
      <formula>LENB(L67)/2&gt;5</formula>
    </cfRule>
  </conditionalFormatting>
  <conditionalFormatting sqref="L69">
    <cfRule type="expression" dxfId="12" priority="168">
      <formula>LENB(L69)/2&gt;5</formula>
    </cfRule>
  </conditionalFormatting>
  <conditionalFormatting sqref="L70">
    <cfRule type="expression" dxfId="11" priority="171">
      <formula>LENB(L70)/2&gt;6</formula>
    </cfRule>
  </conditionalFormatting>
  <conditionalFormatting sqref="N40:N43">
    <cfRule type="expression" dxfId="10" priority="88">
      <formula>N40="超過"</formula>
    </cfRule>
    <cfRule type="expression" dxfId="9" priority="89">
      <formula>N40="OK"</formula>
    </cfRule>
  </conditionalFormatting>
  <conditionalFormatting sqref="N58:N60">
    <cfRule type="expression" dxfId="8" priority="135">
      <formula>N58="OK"</formula>
    </cfRule>
    <cfRule type="expression" dxfId="7" priority="134">
      <formula>N58="超過"</formula>
    </cfRule>
  </conditionalFormatting>
  <conditionalFormatting sqref="N67:N70">
    <cfRule type="expression" dxfId="6" priority="164">
      <formula>N67="超過"</formula>
    </cfRule>
    <cfRule type="expression" dxfId="5" priority="165">
      <formula>N67="OK"</formula>
    </cfRule>
  </conditionalFormatting>
  <conditionalFormatting sqref="P67">
    <cfRule type="expression" dxfId="4" priority="174">
      <formula>LENB(P67)/2&gt;5</formula>
    </cfRule>
  </conditionalFormatting>
  <conditionalFormatting sqref="P69">
    <cfRule type="expression" dxfId="3" priority="179">
      <formula>LENB(P69)/2&gt;5</formula>
    </cfRule>
  </conditionalFormatting>
  <conditionalFormatting sqref="P70">
    <cfRule type="expression" dxfId="2" priority="182">
      <formula>LENB(P70)/2&gt;6</formula>
    </cfRule>
  </conditionalFormatting>
  <conditionalFormatting sqref="R67:R70">
    <cfRule type="expression" dxfId="1" priority="176">
      <formula>R67="OK"</formula>
    </cfRule>
    <cfRule type="expression" dxfId="0" priority="175">
      <formula>R67="超過"</formula>
    </cfRule>
  </conditionalFormatting>
  <dataValidations count="7">
    <dataValidation type="custom" allowBlank="1" showInputMessage="1" showErrorMessage="1" errorTitle="超過字數上限" error="最多 8 個字；中文算 1，英數與半形符號算 0.5。" promptTitle="字數限制：8" prompt="中文算 1，英數與半形符號算 0.5。" sqref="D13 H52 H49 H33:H34 D7 D52 D49 D4 D33:D34 D22 D16" xr:uid="{00000000-0002-0000-0100-000000000000}">
      <formula1>LENB(D4)/2&lt;=8</formula1>
    </dataValidation>
    <dataValidation type="custom" allowBlank="1" showInputMessage="1" showErrorMessage="1" errorTitle="超過字數上限" error="最多 5 個字；中文算 1，英數與半形符號算 0.5。" promptTitle="字數限制：5" prompt="中文算 1，英數與半形符號算 0.5。" sqref="D17 P69 P67 L69 L67 L42 H69 H67 H42 H35 D69 D67 D42 D35 D26" xr:uid="{00000000-0002-0000-0100-000002000000}">
      <formula1>LENB(D17)/2&lt;=5</formula1>
    </dataValidation>
    <dataValidation type="custom" allowBlank="1" showInputMessage="1" showErrorMessage="1" errorTitle="超過字數上限" error="最多 4 個字；中文算 1，英數與半形符號算 0.5。" promptTitle="字數限制：4" prompt="中文算 1，英數與半形符號算 0.5。" sqref="D25 D83:D84 D78:D79" xr:uid="{00000000-0002-0000-0100-000004000000}">
      <formula1>LENB(D25)/2&lt;=4</formula1>
    </dataValidation>
    <dataValidation type="custom" allowBlank="1" showInputMessage="1" showErrorMessage="1" errorTitle="超過字數上限" error="最多 3 個字；中文算 1，英數與半形符號算 0.5。" promptTitle="字數限制：3" prompt="中文算 1，英數與半形符號算 0.5。" sqref="D27" xr:uid="{00000000-0002-0000-0100-000006000000}">
      <formula1>LENB(D27)/2&lt;=3</formula1>
    </dataValidation>
    <dataValidation type="custom" allowBlank="1" showInputMessage="1" showErrorMessage="1" errorTitle="超過字數上限" error="最多 6 個字；中文算 1，英數與半形符號算 0.5。" promptTitle="字數限制：6" prompt="中文算 1，英數與半形符號算 0.5。" sqref="D31 P70 L70 H70 H31 D86:D87 D81:D82 D76:D77 D70" xr:uid="{00000000-0002-0000-0100-000007000000}">
      <formula1>LENB(D31)/2&lt;=6</formula1>
    </dataValidation>
    <dataValidation type="custom" allowBlank="1" showInputMessage="1" showErrorMessage="1" errorTitle="超過字數上限" error="最多 7 個字；中文算 1，英數與半形符號算 0.5。" promptTitle="字數限制：7" prompt="中文算 1，英數與半形符號算 0.5。" sqref="D43 L59 L43 H59 H43 D59" xr:uid="{00000000-0002-0000-0100-00000D000000}">
      <formula1>LENB(D43)/2&lt;=7</formula1>
    </dataValidation>
    <dataValidation type="custom" allowBlank="1" showInputMessage="1" showErrorMessage="1" errorTitle="超過字數上限" error="最多 10 個字；中文算 1，英數與半形符號算 0.5。" promptTitle="字數限制：10" prompt="中文算 1，英數與半形符號算 0.5。" sqref="D51 H51" xr:uid="{00000000-0002-0000-0100-00000F000000}">
      <formula1>LENB(D51)/2&lt;=10</formula1>
    </dataValidation>
  </dataValidations>
  <pageMargins left="0.25" right="0.25" top="0.4" bottom="0.4" header="0.2" footer="0.2"/>
  <pageSetup paperSize="9" fitToHeight="0" orientation="landscape"/>
  <headerFooter>
    <oddFooter>&amp;L BODA 工單&amp;C MS Layout&amp;R 第 &amp;P / &amp;N 頁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3"/>
  <sheetViews>
    <sheetView workbookViewId="0"/>
  </sheetViews>
  <sheetFormatPr defaultRowHeight="15.75" x14ac:dyDescent="0.25"/>
  <sheetData>
    <row r="1" spans="1:36" x14ac:dyDescent="0.25">
      <c r="A1" t="s">
        <v>137</v>
      </c>
      <c r="B1" t="s">
        <v>138</v>
      </c>
      <c r="C1" t="s">
        <v>139</v>
      </c>
      <c r="D1" t="s">
        <v>140</v>
      </c>
      <c r="E1" t="s">
        <v>141</v>
      </c>
      <c r="F1" t="s">
        <v>142</v>
      </c>
      <c r="G1" t="s">
        <v>143</v>
      </c>
      <c r="H1" t="s">
        <v>144</v>
      </c>
      <c r="I1" t="s">
        <v>145</v>
      </c>
      <c r="J1" t="s">
        <v>146</v>
      </c>
      <c r="K1" t="s">
        <v>147</v>
      </c>
      <c r="L1" t="s">
        <v>148</v>
      </c>
      <c r="M1" t="s">
        <v>149</v>
      </c>
      <c r="N1" t="s">
        <v>150</v>
      </c>
      <c r="O1" t="s">
        <v>151</v>
      </c>
      <c r="P1" t="s">
        <v>152</v>
      </c>
      <c r="Q1" t="s">
        <v>153</v>
      </c>
      <c r="R1" t="s">
        <v>154</v>
      </c>
      <c r="S1" t="s">
        <v>155</v>
      </c>
      <c r="T1" t="s">
        <v>156</v>
      </c>
      <c r="U1" t="s">
        <v>157</v>
      </c>
      <c r="V1" t="s">
        <v>158</v>
      </c>
      <c r="W1" t="s">
        <v>159</v>
      </c>
      <c r="X1" t="s">
        <v>160</v>
      </c>
      <c r="Y1" t="s">
        <v>161</v>
      </c>
      <c r="Z1" t="s">
        <v>162</v>
      </c>
      <c r="AB1" t="s">
        <v>163</v>
      </c>
      <c r="AC1" t="s">
        <v>164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165</v>
      </c>
    </row>
    <row r="2" spans="1:36" x14ac:dyDescent="0.25">
      <c r="A2" t="s">
        <v>166</v>
      </c>
      <c r="B2">
        <v>8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6</v>
      </c>
      <c r="U2" t="s">
        <v>6</v>
      </c>
      <c r="V2" t="s">
        <v>6</v>
      </c>
      <c r="W2" t="s">
        <v>6</v>
      </c>
      <c r="X2" t="s">
        <v>6</v>
      </c>
      <c r="Y2" t="s">
        <v>6</v>
      </c>
      <c r="Z2" t="s">
        <v>6</v>
      </c>
      <c r="AB2" t="s">
        <v>167</v>
      </c>
      <c r="AC2" t="s">
        <v>168</v>
      </c>
      <c r="AD2">
        <v>1</v>
      </c>
      <c r="AE2" t="s">
        <v>169</v>
      </c>
      <c r="AF2" t="s">
        <v>170</v>
      </c>
      <c r="AG2" t="s">
        <v>171</v>
      </c>
      <c r="AH2" t="s">
        <v>172</v>
      </c>
      <c r="AI2" t="s">
        <v>173</v>
      </c>
      <c r="AJ2" t="s">
        <v>174</v>
      </c>
    </row>
    <row r="3" spans="1:36" x14ac:dyDescent="0.25">
      <c r="A3" t="s">
        <v>175</v>
      </c>
      <c r="B3">
        <v>4</v>
      </c>
      <c r="C3" t="s">
        <v>6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t="s">
        <v>6</v>
      </c>
      <c r="J3" t="s">
        <v>6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6</v>
      </c>
      <c r="U3" t="s">
        <v>6</v>
      </c>
      <c r="V3" t="s">
        <v>6</v>
      </c>
      <c r="W3" t="s">
        <v>6</v>
      </c>
      <c r="X3" t="s">
        <v>6</v>
      </c>
      <c r="Y3" t="s">
        <v>6</v>
      </c>
      <c r="Z3" t="s">
        <v>6</v>
      </c>
      <c r="AB3" t="s">
        <v>176</v>
      </c>
      <c r="AC3" t="s">
        <v>177</v>
      </c>
      <c r="AD3">
        <v>1</v>
      </c>
      <c r="AE3" t="s">
        <v>178</v>
      </c>
      <c r="AF3" t="s">
        <v>170</v>
      </c>
      <c r="AG3" t="s">
        <v>171</v>
      </c>
      <c r="AH3" t="s">
        <v>179</v>
      </c>
      <c r="AI3" t="s">
        <v>180</v>
      </c>
      <c r="AJ3" t="s">
        <v>174</v>
      </c>
    </row>
    <row r="4" spans="1:36" x14ac:dyDescent="0.25">
      <c r="A4" t="s">
        <v>181</v>
      </c>
      <c r="B4">
        <v>4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t="s">
        <v>6</v>
      </c>
      <c r="J4" t="s">
        <v>6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6</v>
      </c>
      <c r="U4" t="s">
        <v>6</v>
      </c>
      <c r="V4" t="s">
        <v>6</v>
      </c>
      <c r="W4" t="s">
        <v>6</v>
      </c>
      <c r="X4" t="s">
        <v>6</v>
      </c>
      <c r="Y4" t="s">
        <v>6</v>
      </c>
      <c r="Z4" t="s">
        <v>6</v>
      </c>
      <c r="AB4" t="s">
        <v>182</v>
      </c>
      <c r="AC4" t="s">
        <v>182</v>
      </c>
      <c r="AD4">
        <v>1</v>
      </c>
      <c r="AE4" t="s">
        <v>183</v>
      </c>
      <c r="AF4" t="s">
        <v>184</v>
      </c>
      <c r="AG4" t="s">
        <v>185</v>
      </c>
      <c r="AH4" t="s">
        <v>186</v>
      </c>
      <c r="AI4" t="s">
        <v>187</v>
      </c>
      <c r="AJ4" t="s">
        <v>188</v>
      </c>
    </row>
    <row r="5" spans="1:36" x14ac:dyDescent="0.25">
      <c r="A5" t="s">
        <v>189</v>
      </c>
      <c r="B5">
        <v>6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6</v>
      </c>
      <c r="W5" t="s">
        <v>6</v>
      </c>
      <c r="X5" t="s">
        <v>6</v>
      </c>
      <c r="Y5" t="s">
        <v>6</v>
      </c>
      <c r="Z5" t="s">
        <v>6</v>
      </c>
      <c r="AB5" t="s">
        <v>190</v>
      </c>
      <c r="AC5" t="s">
        <v>191</v>
      </c>
      <c r="AD5">
        <v>1</v>
      </c>
      <c r="AE5" t="s">
        <v>183</v>
      </c>
      <c r="AF5" t="s">
        <v>184</v>
      </c>
      <c r="AG5" t="s">
        <v>192</v>
      </c>
      <c r="AH5" t="s">
        <v>186</v>
      </c>
      <c r="AI5" t="s">
        <v>187</v>
      </c>
      <c r="AJ5" t="s">
        <v>188</v>
      </c>
    </row>
    <row r="6" spans="1:36" x14ac:dyDescent="0.25">
      <c r="A6" t="s">
        <v>193</v>
      </c>
      <c r="B6">
        <v>0</v>
      </c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 t="s">
        <v>6</v>
      </c>
      <c r="W6" t="s">
        <v>6</v>
      </c>
      <c r="X6" t="s">
        <v>6</v>
      </c>
      <c r="Y6" t="s">
        <v>6</v>
      </c>
      <c r="Z6" t="s">
        <v>6</v>
      </c>
      <c r="AB6" t="s">
        <v>194</v>
      </c>
      <c r="AC6" t="s">
        <v>194</v>
      </c>
      <c r="AD6">
        <v>1</v>
      </c>
      <c r="AE6" t="s">
        <v>195</v>
      </c>
      <c r="AF6" t="s">
        <v>184</v>
      </c>
      <c r="AG6" t="s">
        <v>196</v>
      </c>
      <c r="AH6" t="s">
        <v>186</v>
      </c>
      <c r="AI6" t="s">
        <v>187</v>
      </c>
      <c r="AJ6" t="s">
        <v>188</v>
      </c>
    </row>
    <row r="7" spans="1:36" x14ac:dyDescent="0.25">
      <c r="A7" t="s">
        <v>197</v>
      </c>
      <c r="B7">
        <v>6</v>
      </c>
      <c r="C7" t="s">
        <v>167</v>
      </c>
      <c r="D7" t="s">
        <v>176</v>
      </c>
      <c r="E7" t="s">
        <v>182</v>
      </c>
      <c r="F7" t="s">
        <v>190</v>
      </c>
      <c r="G7" t="s">
        <v>194</v>
      </c>
      <c r="H7" t="s">
        <v>198</v>
      </c>
      <c r="I7" t="s">
        <v>199</v>
      </c>
      <c r="J7" t="s">
        <v>200</v>
      </c>
      <c r="K7" t="s">
        <v>201</v>
      </c>
      <c r="L7" t="s">
        <v>202</v>
      </c>
      <c r="M7" t="s">
        <v>203</v>
      </c>
      <c r="N7" t="s">
        <v>6</v>
      </c>
      <c r="O7" t="s">
        <v>204</v>
      </c>
      <c r="P7" t="s">
        <v>204</v>
      </c>
      <c r="Q7" t="s">
        <v>204</v>
      </c>
      <c r="R7" t="s">
        <v>204</v>
      </c>
      <c r="S7" t="s">
        <v>204</v>
      </c>
      <c r="T7" t="s">
        <v>204</v>
      </c>
      <c r="U7" t="s">
        <v>204</v>
      </c>
      <c r="V7" t="s">
        <v>205</v>
      </c>
      <c r="W7" t="s">
        <v>205</v>
      </c>
      <c r="X7" t="s">
        <v>205</v>
      </c>
      <c r="Y7" t="s">
        <v>205</v>
      </c>
      <c r="Z7" t="s">
        <v>6</v>
      </c>
      <c r="AB7" t="s">
        <v>198</v>
      </c>
      <c r="AC7" t="s">
        <v>206</v>
      </c>
      <c r="AD7">
        <v>1</v>
      </c>
      <c r="AE7" t="s">
        <v>207</v>
      </c>
      <c r="AF7" t="s">
        <v>170</v>
      </c>
      <c r="AG7" t="s">
        <v>171</v>
      </c>
      <c r="AH7" t="s">
        <v>208</v>
      </c>
      <c r="AI7" t="s">
        <v>209</v>
      </c>
      <c r="AJ7" t="s">
        <v>174</v>
      </c>
    </row>
    <row r="8" spans="1:36" x14ac:dyDescent="0.25">
      <c r="A8" t="s">
        <v>210</v>
      </c>
      <c r="B8">
        <v>0</v>
      </c>
      <c r="C8" t="s">
        <v>167</v>
      </c>
      <c r="D8" t="s">
        <v>176</v>
      </c>
      <c r="E8" t="s">
        <v>182</v>
      </c>
      <c r="F8" t="s">
        <v>190</v>
      </c>
      <c r="G8" t="s">
        <v>194</v>
      </c>
      <c r="H8" t="s">
        <v>198</v>
      </c>
      <c r="I8" t="s">
        <v>199</v>
      </c>
      <c r="J8" t="s">
        <v>200</v>
      </c>
      <c r="K8" t="s">
        <v>201</v>
      </c>
      <c r="L8" t="s">
        <v>202</v>
      </c>
      <c r="M8" t="s">
        <v>203</v>
      </c>
      <c r="N8" t="s">
        <v>6</v>
      </c>
      <c r="O8" t="s">
        <v>204</v>
      </c>
      <c r="P8" t="s">
        <v>204</v>
      </c>
      <c r="Q8" t="s">
        <v>204</v>
      </c>
      <c r="R8" t="s">
        <v>204</v>
      </c>
      <c r="S8" t="s">
        <v>204</v>
      </c>
      <c r="T8" t="s">
        <v>204</v>
      </c>
      <c r="U8" t="s">
        <v>204</v>
      </c>
      <c r="V8" t="s">
        <v>205</v>
      </c>
      <c r="W8" t="s">
        <v>205</v>
      </c>
      <c r="X8" t="s">
        <v>205</v>
      </c>
      <c r="Y8" t="s">
        <v>205</v>
      </c>
      <c r="Z8" t="s">
        <v>6</v>
      </c>
      <c r="AB8" t="s">
        <v>199</v>
      </c>
      <c r="AC8" t="s">
        <v>199</v>
      </c>
      <c r="AD8">
        <v>1</v>
      </c>
      <c r="AE8" t="s">
        <v>211</v>
      </c>
      <c r="AF8" t="s">
        <v>170</v>
      </c>
      <c r="AG8" t="s">
        <v>212</v>
      </c>
      <c r="AH8" t="s">
        <v>186</v>
      </c>
      <c r="AI8" t="s">
        <v>187</v>
      </c>
      <c r="AJ8" t="s">
        <v>188</v>
      </c>
    </row>
    <row r="9" spans="1:36" x14ac:dyDescent="0.25">
      <c r="A9" t="s">
        <v>213</v>
      </c>
      <c r="B9">
        <v>6</v>
      </c>
      <c r="C9" t="s">
        <v>167</v>
      </c>
      <c r="D9" t="s">
        <v>176</v>
      </c>
      <c r="E9" t="s">
        <v>182</v>
      </c>
      <c r="F9" t="s">
        <v>190</v>
      </c>
      <c r="G9" t="s">
        <v>194</v>
      </c>
      <c r="H9" t="s">
        <v>198</v>
      </c>
      <c r="I9" t="s">
        <v>199</v>
      </c>
      <c r="J9" t="s">
        <v>200</v>
      </c>
      <c r="K9" t="s">
        <v>201</v>
      </c>
      <c r="L9" t="s">
        <v>6</v>
      </c>
      <c r="M9" t="s">
        <v>6</v>
      </c>
      <c r="N9" t="s">
        <v>6</v>
      </c>
      <c r="O9" t="s">
        <v>204</v>
      </c>
      <c r="P9" t="s">
        <v>204</v>
      </c>
      <c r="Q9" t="s">
        <v>204</v>
      </c>
      <c r="R9" t="s">
        <v>204</v>
      </c>
      <c r="S9" t="s">
        <v>204</v>
      </c>
      <c r="T9" t="s">
        <v>205</v>
      </c>
      <c r="U9" t="s">
        <v>205</v>
      </c>
      <c r="V9" t="s">
        <v>205</v>
      </c>
      <c r="W9" t="s">
        <v>205</v>
      </c>
      <c r="X9" t="s">
        <v>6</v>
      </c>
      <c r="Y9" t="s">
        <v>6</v>
      </c>
      <c r="Z9" t="s">
        <v>6</v>
      </c>
      <c r="AB9" t="s">
        <v>200</v>
      </c>
      <c r="AC9" t="s">
        <v>214</v>
      </c>
      <c r="AD9">
        <v>1</v>
      </c>
      <c r="AE9" t="s">
        <v>215</v>
      </c>
      <c r="AF9" t="s">
        <v>170</v>
      </c>
      <c r="AG9" t="s">
        <v>171</v>
      </c>
      <c r="AH9" t="s">
        <v>208</v>
      </c>
      <c r="AI9" t="s">
        <v>216</v>
      </c>
      <c r="AJ9" t="s">
        <v>174</v>
      </c>
    </row>
    <row r="10" spans="1:36" x14ac:dyDescent="0.25">
      <c r="A10" t="s">
        <v>2</v>
      </c>
      <c r="B10">
        <v>6</v>
      </c>
      <c r="C10" t="s">
        <v>167</v>
      </c>
      <c r="D10" t="s">
        <v>176</v>
      </c>
      <c r="E10" t="s">
        <v>182</v>
      </c>
      <c r="F10" t="s">
        <v>190</v>
      </c>
      <c r="G10" t="s">
        <v>194</v>
      </c>
      <c r="H10" t="s">
        <v>198</v>
      </c>
      <c r="I10" t="s">
        <v>199</v>
      </c>
      <c r="J10" t="s">
        <v>200</v>
      </c>
      <c r="K10" t="s">
        <v>201</v>
      </c>
      <c r="L10" t="s">
        <v>6</v>
      </c>
      <c r="M10" t="s">
        <v>6</v>
      </c>
      <c r="N10" t="s">
        <v>6</v>
      </c>
      <c r="O10" t="s">
        <v>204</v>
      </c>
      <c r="P10" t="s">
        <v>204</v>
      </c>
      <c r="Q10" t="s">
        <v>204</v>
      </c>
      <c r="R10" t="s">
        <v>204</v>
      </c>
      <c r="S10" t="s">
        <v>204</v>
      </c>
      <c r="T10" t="s">
        <v>205</v>
      </c>
      <c r="U10" t="s">
        <v>205</v>
      </c>
      <c r="V10" t="s">
        <v>205</v>
      </c>
      <c r="W10" t="s">
        <v>205</v>
      </c>
      <c r="X10" t="s">
        <v>6</v>
      </c>
      <c r="Y10" t="s">
        <v>6</v>
      </c>
      <c r="Z10" t="s">
        <v>6</v>
      </c>
      <c r="AB10" t="s">
        <v>201</v>
      </c>
      <c r="AC10" t="s">
        <v>201</v>
      </c>
      <c r="AD10">
        <v>1</v>
      </c>
      <c r="AE10" t="s">
        <v>217</v>
      </c>
      <c r="AF10" t="s">
        <v>170</v>
      </c>
      <c r="AG10" t="s">
        <v>171</v>
      </c>
      <c r="AH10" t="s">
        <v>208</v>
      </c>
      <c r="AI10" t="s">
        <v>218</v>
      </c>
      <c r="AJ10" t="s">
        <v>174</v>
      </c>
    </row>
    <row r="11" spans="1:36" x14ac:dyDescent="0.25">
      <c r="A11" t="s">
        <v>219</v>
      </c>
      <c r="B11">
        <v>3</v>
      </c>
      <c r="C11" t="s">
        <v>201</v>
      </c>
      <c r="D11" t="s">
        <v>176</v>
      </c>
      <c r="E11" t="s">
        <v>167</v>
      </c>
      <c r="F11" t="s">
        <v>200</v>
      </c>
      <c r="G11" t="s">
        <v>198</v>
      </c>
      <c r="H11" t="s">
        <v>220</v>
      </c>
      <c r="I11" t="s">
        <v>203</v>
      </c>
      <c r="J11" t="s">
        <v>202</v>
      </c>
      <c r="K11" t="s">
        <v>6</v>
      </c>
      <c r="L11" t="s">
        <v>6</v>
      </c>
      <c r="M11" t="s">
        <v>6</v>
      </c>
      <c r="N11" t="s">
        <v>6</v>
      </c>
      <c r="O11" t="s">
        <v>204</v>
      </c>
      <c r="P11" t="s">
        <v>204</v>
      </c>
      <c r="Q11" t="s">
        <v>204</v>
      </c>
      <c r="R11" t="s">
        <v>204</v>
      </c>
      <c r="S11" t="s">
        <v>204</v>
      </c>
      <c r="T11" t="s">
        <v>204</v>
      </c>
      <c r="U11" t="s">
        <v>204</v>
      </c>
      <c r="V11" t="s">
        <v>204</v>
      </c>
      <c r="W11" t="s">
        <v>6</v>
      </c>
      <c r="X11" t="s">
        <v>6</v>
      </c>
      <c r="Y11" t="s">
        <v>6</v>
      </c>
      <c r="Z11" t="s">
        <v>6</v>
      </c>
      <c r="AB11" t="s">
        <v>202</v>
      </c>
      <c r="AC11" t="s">
        <v>221</v>
      </c>
      <c r="AD11">
        <v>1</v>
      </c>
      <c r="AE11" t="s">
        <v>222</v>
      </c>
      <c r="AF11" t="s">
        <v>223</v>
      </c>
      <c r="AG11" t="s">
        <v>224</v>
      </c>
      <c r="AH11" t="s">
        <v>225</v>
      </c>
      <c r="AI11" t="s">
        <v>226</v>
      </c>
      <c r="AJ11" t="s">
        <v>174</v>
      </c>
    </row>
    <row r="12" spans="1:36" x14ac:dyDescent="0.25">
      <c r="A12" t="s">
        <v>227</v>
      </c>
      <c r="B12">
        <v>3</v>
      </c>
      <c r="C12" t="s">
        <v>167</v>
      </c>
      <c r="D12" t="s">
        <v>176</v>
      </c>
      <c r="E12" t="s">
        <v>182</v>
      </c>
      <c r="F12" t="s">
        <v>194</v>
      </c>
      <c r="G12" t="s">
        <v>200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204</v>
      </c>
      <c r="P12" t="s">
        <v>204</v>
      </c>
      <c r="Q12" t="s">
        <v>204</v>
      </c>
      <c r="R12" t="s">
        <v>204</v>
      </c>
      <c r="S12" t="s">
        <v>205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B12" t="s">
        <v>203</v>
      </c>
      <c r="AC12" t="s">
        <v>228</v>
      </c>
      <c r="AD12">
        <v>1</v>
      </c>
      <c r="AE12" t="s">
        <v>229</v>
      </c>
      <c r="AF12" t="s">
        <v>184</v>
      </c>
      <c r="AG12" t="s">
        <v>230</v>
      </c>
      <c r="AH12" t="s">
        <v>231</v>
      </c>
      <c r="AI12" t="s">
        <v>232</v>
      </c>
      <c r="AJ12" t="s">
        <v>174</v>
      </c>
    </row>
    <row r="13" spans="1:36" x14ac:dyDescent="0.25">
      <c r="AB13" t="s">
        <v>220</v>
      </c>
      <c r="AC13" t="s">
        <v>233</v>
      </c>
      <c r="AD13">
        <v>1</v>
      </c>
      <c r="AE13" t="s">
        <v>234</v>
      </c>
      <c r="AF13" t="s">
        <v>170</v>
      </c>
      <c r="AG13" t="s">
        <v>235</v>
      </c>
      <c r="AH13" t="s">
        <v>236</v>
      </c>
      <c r="AI13" t="s">
        <v>237</v>
      </c>
      <c r="AJ13" t="s">
        <v>174</v>
      </c>
    </row>
  </sheetData>
  <phoneticPr fontId="18" type="noConversion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86"/>
  <sheetViews>
    <sheetView workbookViewId="0"/>
  </sheetViews>
  <sheetFormatPr defaultRowHeight="15.75" x14ac:dyDescent="0.25"/>
  <sheetData>
    <row r="1" spans="1:15" x14ac:dyDescent="0.25">
      <c r="A1" t="s">
        <v>238</v>
      </c>
    </row>
    <row r="2" spans="1:15" x14ac:dyDescent="0.25">
      <c r="A2" t="s">
        <v>239</v>
      </c>
      <c r="B2" t="s">
        <v>240</v>
      </c>
      <c r="C2" t="s">
        <v>241</v>
      </c>
      <c r="D2" t="s">
        <v>242</v>
      </c>
      <c r="E2" t="s">
        <v>243</v>
      </c>
      <c r="F2" t="s">
        <v>244</v>
      </c>
      <c r="G2" t="s">
        <v>245</v>
      </c>
      <c r="H2" t="s">
        <v>246</v>
      </c>
      <c r="I2" t="s">
        <v>247</v>
      </c>
      <c r="J2" t="s">
        <v>248</v>
      </c>
      <c r="K2" t="s">
        <v>249</v>
      </c>
      <c r="L2" t="s">
        <v>250</v>
      </c>
      <c r="M2" t="s">
        <v>251</v>
      </c>
      <c r="N2" t="s">
        <v>252</v>
      </c>
      <c r="O2" t="s">
        <v>253</v>
      </c>
    </row>
    <row r="3" spans="1:15" x14ac:dyDescent="0.25">
      <c r="A3" t="s">
        <v>254</v>
      </c>
      <c r="B3" t="s">
        <v>255</v>
      </c>
      <c r="C3">
        <v>1</v>
      </c>
      <c r="D3">
        <v>1</v>
      </c>
      <c r="E3" t="s">
        <v>256</v>
      </c>
      <c r="F3">
        <v>1</v>
      </c>
      <c r="G3">
        <v>2</v>
      </c>
      <c r="H3" t="s">
        <v>6</v>
      </c>
      <c r="I3">
        <v>1</v>
      </c>
      <c r="J3" t="s">
        <v>101</v>
      </c>
      <c r="K3" t="s">
        <v>257</v>
      </c>
      <c r="L3" t="s">
        <v>53</v>
      </c>
      <c r="M3" t="s">
        <v>54</v>
      </c>
      <c r="N3">
        <v>0</v>
      </c>
      <c r="O3" t="s">
        <v>258</v>
      </c>
    </row>
    <row r="4" spans="1:15" x14ac:dyDescent="0.25">
      <c r="A4" t="s">
        <v>254</v>
      </c>
      <c r="B4" t="s">
        <v>255</v>
      </c>
      <c r="C4">
        <v>1</v>
      </c>
      <c r="D4">
        <v>1</v>
      </c>
      <c r="E4" t="s">
        <v>256</v>
      </c>
      <c r="F4">
        <v>1</v>
      </c>
      <c r="G4">
        <v>2</v>
      </c>
      <c r="H4" t="s">
        <v>6</v>
      </c>
      <c r="I4">
        <v>1</v>
      </c>
      <c r="J4" t="s">
        <v>102</v>
      </c>
      <c r="K4" t="s">
        <v>259</v>
      </c>
      <c r="L4" t="s">
        <v>53</v>
      </c>
      <c r="M4" t="s">
        <v>54</v>
      </c>
      <c r="N4">
        <v>0</v>
      </c>
      <c r="O4" t="s">
        <v>260</v>
      </c>
    </row>
    <row r="5" spans="1:15" x14ac:dyDescent="0.25">
      <c r="A5" t="s">
        <v>254</v>
      </c>
      <c r="B5" t="s">
        <v>255</v>
      </c>
      <c r="C5">
        <v>1</v>
      </c>
      <c r="D5">
        <v>1</v>
      </c>
      <c r="E5" t="s">
        <v>256</v>
      </c>
      <c r="F5">
        <v>1</v>
      </c>
      <c r="G5">
        <v>2</v>
      </c>
      <c r="H5" t="s">
        <v>6</v>
      </c>
      <c r="I5">
        <v>1</v>
      </c>
      <c r="J5" t="s">
        <v>261</v>
      </c>
      <c r="K5" t="s">
        <v>262</v>
      </c>
      <c r="L5" t="s">
        <v>53</v>
      </c>
      <c r="M5" t="s">
        <v>54</v>
      </c>
      <c r="N5">
        <v>0</v>
      </c>
      <c r="O5" t="s">
        <v>260</v>
      </c>
    </row>
    <row r="6" spans="1:15" x14ac:dyDescent="0.25">
      <c r="A6" t="s">
        <v>254</v>
      </c>
      <c r="B6" t="s">
        <v>255</v>
      </c>
      <c r="C6">
        <v>1</v>
      </c>
      <c r="D6">
        <v>1</v>
      </c>
      <c r="E6" t="s">
        <v>256</v>
      </c>
      <c r="F6">
        <v>1</v>
      </c>
      <c r="G6">
        <v>2</v>
      </c>
      <c r="H6" t="s">
        <v>6</v>
      </c>
      <c r="I6">
        <v>1</v>
      </c>
      <c r="J6" t="s">
        <v>104</v>
      </c>
      <c r="K6" t="s">
        <v>263</v>
      </c>
      <c r="L6" t="s">
        <v>53</v>
      </c>
      <c r="M6" t="s">
        <v>54</v>
      </c>
      <c r="N6">
        <v>0</v>
      </c>
      <c r="O6" t="s">
        <v>258</v>
      </c>
    </row>
    <row r="7" spans="1:15" x14ac:dyDescent="0.25">
      <c r="A7" t="s">
        <v>254</v>
      </c>
      <c r="B7" t="s">
        <v>264</v>
      </c>
      <c r="C7">
        <v>1</v>
      </c>
      <c r="D7">
        <v>2</v>
      </c>
      <c r="E7" t="s">
        <v>256</v>
      </c>
      <c r="F7">
        <v>2</v>
      </c>
      <c r="G7">
        <v>2</v>
      </c>
      <c r="H7" t="s">
        <v>6</v>
      </c>
      <c r="I7">
        <v>1</v>
      </c>
      <c r="J7" t="s">
        <v>101</v>
      </c>
      <c r="K7" t="s">
        <v>265</v>
      </c>
      <c r="L7" t="s">
        <v>59</v>
      </c>
      <c r="M7" t="s">
        <v>60</v>
      </c>
      <c r="N7">
        <v>0</v>
      </c>
      <c r="O7" t="s">
        <v>258</v>
      </c>
    </row>
    <row r="8" spans="1:15" x14ac:dyDescent="0.25">
      <c r="A8" t="s">
        <v>254</v>
      </c>
      <c r="B8" t="s">
        <v>264</v>
      </c>
      <c r="C8">
        <v>1</v>
      </c>
      <c r="D8">
        <v>2</v>
      </c>
      <c r="E8" t="s">
        <v>256</v>
      </c>
      <c r="F8">
        <v>2</v>
      </c>
      <c r="G8">
        <v>2</v>
      </c>
      <c r="H8" t="s">
        <v>6</v>
      </c>
      <c r="I8">
        <v>1</v>
      </c>
      <c r="J8" t="s">
        <v>102</v>
      </c>
      <c r="K8" t="s">
        <v>266</v>
      </c>
      <c r="L8" t="s">
        <v>59</v>
      </c>
      <c r="M8" t="s">
        <v>60</v>
      </c>
      <c r="N8">
        <v>0</v>
      </c>
      <c r="O8" t="s">
        <v>260</v>
      </c>
    </row>
    <row r="9" spans="1:15" x14ac:dyDescent="0.25">
      <c r="A9" t="s">
        <v>254</v>
      </c>
      <c r="B9" t="s">
        <v>264</v>
      </c>
      <c r="C9">
        <v>1</v>
      </c>
      <c r="D9">
        <v>2</v>
      </c>
      <c r="E9" t="s">
        <v>256</v>
      </c>
      <c r="F9">
        <v>2</v>
      </c>
      <c r="G9">
        <v>2</v>
      </c>
      <c r="H9" t="s">
        <v>6</v>
      </c>
      <c r="I9">
        <v>1</v>
      </c>
      <c r="J9" t="s">
        <v>261</v>
      </c>
      <c r="K9" t="s">
        <v>267</v>
      </c>
      <c r="L9" t="s">
        <v>59</v>
      </c>
      <c r="M9" t="s">
        <v>60</v>
      </c>
      <c r="N9">
        <v>0</v>
      </c>
      <c r="O9" t="s">
        <v>260</v>
      </c>
    </row>
    <row r="10" spans="1:15" x14ac:dyDescent="0.25">
      <c r="A10" t="s">
        <v>254</v>
      </c>
      <c r="B10" t="s">
        <v>264</v>
      </c>
      <c r="C10">
        <v>1</v>
      </c>
      <c r="D10">
        <v>2</v>
      </c>
      <c r="E10" t="s">
        <v>256</v>
      </c>
      <c r="F10">
        <v>2</v>
      </c>
      <c r="G10">
        <v>2</v>
      </c>
      <c r="H10" t="s">
        <v>6</v>
      </c>
      <c r="I10">
        <v>1</v>
      </c>
      <c r="J10" t="s">
        <v>104</v>
      </c>
      <c r="K10" t="s">
        <v>268</v>
      </c>
      <c r="L10" t="s">
        <v>59</v>
      </c>
      <c r="M10" t="s">
        <v>60</v>
      </c>
      <c r="N10">
        <v>0</v>
      </c>
      <c r="O10" t="s">
        <v>258</v>
      </c>
    </row>
    <row r="11" spans="1:15" x14ac:dyDescent="0.25">
      <c r="A11" t="s">
        <v>254</v>
      </c>
      <c r="B11" t="s">
        <v>264</v>
      </c>
      <c r="C11">
        <v>1</v>
      </c>
      <c r="D11">
        <v>2</v>
      </c>
      <c r="E11" t="s">
        <v>256</v>
      </c>
      <c r="F11">
        <v>2</v>
      </c>
      <c r="G11">
        <v>2</v>
      </c>
      <c r="H11" t="s">
        <v>6</v>
      </c>
      <c r="I11">
        <v>1</v>
      </c>
      <c r="J11" t="s">
        <v>107</v>
      </c>
      <c r="K11" t="s">
        <v>269</v>
      </c>
      <c r="L11" t="s">
        <v>59</v>
      </c>
      <c r="M11" t="s">
        <v>60</v>
      </c>
      <c r="N11">
        <v>0</v>
      </c>
      <c r="O11" t="s">
        <v>270</v>
      </c>
    </row>
    <row r="12" spans="1:15" x14ac:dyDescent="0.25">
      <c r="A12" t="s">
        <v>254</v>
      </c>
      <c r="B12" t="s">
        <v>271</v>
      </c>
      <c r="C12">
        <v>1</v>
      </c>
      <c r="D12">
        <v>3</v>
      </c>
      <c r="E12" t="s">
        <v>256</v>
      </c>
      <c r="F12">
        <v>4</v>
      </c>
      <c r="G12">
        <v>1</v>
      </c>
      <c r="H12" t="s">
        <v>6</v>
      </c>
      <c r="I12">
        <v>1</v>
      </c>
      <c r="J12" t="s">
        <v>101</v>
      </c>
      <c r="K12" t="s">
        <v>272</v>
      </c>
      <c r="L12" t="s">
        <v>63</v>
      </c>
      <c r="M12" t="s">
        <v>64</v>
      </c>
      <c r="N12">
        <v>0</v>
      </c>
      <c r="O12" t="s">
        <v>258</v>
      </c>
    </row>
    <row r="13" spans="1:15" x14ac:dyDescent="0.25">
      <c r="A13" t="s">
        <v>254</v>
      </c>
      <c r="B13" t="s">
        <v>271</v>
      </c>
      <c r="C13">
        <v>1</v>
      </c>
      <c r="D13">
        <v>3</v>
      </c>
      <c r="E13" t="s">
        <v>256</v>
      </c>
      <c r="F13">
        <v>4</v>
      </c>
      <c r="G13">
        <v>1</v>
      </c>
      <c r="H13" t="s">
        <v>6</v>
      </c>
      <c r="I13">
        <v>1</v>
      </c>
      <c r="J13" t="s">
        <v>102</v>
      </c>
      <c r="K13" t="s">
        <v>273</v>
      </c>
      <c r="L13" t="s">
        <v>63</v>
      </c>
      <c r="M13" t="s">
        <v>64</v>
      </c>
      <c r="N13">
        <v>0</v>
      </c>
      <c r="O13" t="s">
        <v>260</v>
      </c>
    </row>
    <row r="14" spans="1:15" x14ac:dyDescent="0.25">
      <c r="A14" t="s">
        <v>254</v>
      </c>
      <c r="B14" t="s">
        <v>271</v>
      </c>
      <c r="C14">
        <v>1</v>
      </c>
      <c r="D14">
        <v>3</v>
      </c>
      <c r="E14" t="s">
        <v>256</v>
      </c>
      <c r="F14">
        <v>4</v>
      </c>
      <c r="G14">
        <v>1</v>
      </c>
      <c r="H14" t="s">
        <v>6</v>
      </c>
      <c r="I14">
        <v>1</v>
      </c>
      <c r="J14" t="s">
        <v>261</v>
      </c>
      <c r="K14" t="s">
        <v>274</v>
      </c>
      <c r="L14" t="s">
        <v>63</v>
      </c>
      <c r="M14" t="s">
        <v>64</v>
      </c>
      <c r="N14">
        <v>0</v>
      </c>
      <c r="O14" t="s">
        <v>260</v>
      </c>
    </row>
    <row r="15" spans="1:15" x14ac:dyDescent="0.25">
      <c r="A15" t="s">
        <v>254</v>
      </c>
      <c r="B15" t="s">
        <v>271</v>
      </c>
      <c r="C15">
        <v>1</v>
      </c>
      <c r="D15">
        <v>3</v>
      </c>
      <c r="E15" t="s">
        <v>256</v>
      </c>
      <c r="F15">
        <v>4</v>
      </c>
      <c r="G15">
        <v>1</v>
      </c>
      <c r="H15" t="s">
        <v>6</v>
      </c>
      <c r="I15">
        <v>1</v>
      </c>
      <c r="J15" t="s">
        <v>104</v>
      </c>
      <c r="K15" t="s">
        <v>275</v>
      </c>
      <c r="L15" t="s">
        <v>63</v>
      </c>
      <c r="M15" t="s">
        <v>64</v>
      </c>
      <c r="N15">
        <v>0</v>
      </c>
      <c r="O15" t="s">
        <v>276</v>
      </c>
    </row>
    <row r="16" spans="1:15" x14ac:dyDescent="0.25">
      <c r="A16" t="s">
        <v>254</v>
      </c>
      <c r="B16" t="s">
        <v>271</v>
      </c>
      <c r="C16">
        <v>1</v>
      </c>
      <c r="D16">
        <v>3</v>
      </c>
      <c r="E16" t="s">
        <v>256</v>
      </c>
      <c r="F16">
        <v>4</v>
      </c>
      <c r="G16">
        <v>1</v>
      </c>
      <c r="H16" t="s">
        <v>6</v>
      </c>
      <c r="I16">
        <v>1</v>
      </c>
      <c r="J16" t="s">
        <v>110</v>
      </c>
      <c r="K16" t="s">
        <v>277</v>
      </c>
      <c r="L16" t="s">
        <v>63</v>
      </c>
      <c r="M16" t="s">
        <v>64</v>
      </c>
      <c r="N16">
        <v>0</v>
      </c>
      <c r="O16" t="s">
        <v>270</v>
      </c>
    </row>
    <row r="17" spans="1:15" x14ac:dyDescent="0.25">
      <c r="A17" t="s">
        <v>254</v>
      </c>
      <c r="B17" t="s">
        <v>271</v>
      </c>
      <c r="C17">
        <v>1</v>
      </c>
      <c r="D17">
        <v>3</v>
      </c>
      <c r="E17" t="s">
        <v>256</v>
      </c>
      <c r="F17">
        <v>4</v>
      </c>
      <c r="G17">
        <v>1</v>
      </c>
      <c r="H17" t="s">
        <v>6</v>
      </c>
      <c r="I17">
        <v>1</v>
      </c>
      <c r="J17" t="s">
        <v>111</v>
      </c>
      <c r="K17" t="s">
        <v>278</v>
      </c>
      <c r="L17" t="s">
        <v>63</v>
      </c>
      <c r="M17" t="s">
        <v>64</v>
      </c>
      <c r="N17">
        <v>0</v>
      </c>
      <c r="O17" t="s">
        <v>279</v>
      </c>
    </row>
    <row r="18" spans="1:15" x14ac:dyDescent="0.25">
      <c r="A18" t="s">
        <v>280</v>
      </c>
      <c r="B18" t="s">
        <v>281</v>
      </c>
      <c r="C18">
        <v>2</v>
      </c>
      <c r="D18">
        <v>4</v>
      </c>
      <c r="E18" t="s">
        <v>6</v>
      </c>
      <c r="F18" t="s">
        <v>6</v>
      </c>
      <c r="G18" t="s">
        <v>6</v>
      </c>
      <c r="H18" t="s">
        <v>69</v>
      </c>
      <c r="I18">
        <v>1</v>
      </c>
      <c r="J18" t="s">
        <v>101</v>
      </c>
      <c r="K18" t="s">
        <v>282</v>
      </c>
      <c r="L18" t="s">
        <v>68</v>
      </c>
      <c r="M18" t="s">
        <v>69</v>
      </c>
      <c r="N18">
        <v>0</v>
      </c>
      <c r="O18" t="s">
        <v>283</v>
      </c>
    </row>
    <row r="19" spans="1:15" x14ac:dyDescent="0.25">
      <c r="A19" t="s">
        <v>280</v>
      </c>
      <c r="B19" t="s">
        <v>281</v>
      </c>
      <c r="C19">
        <v>2</v>
      </c>
      <c r="D19">
        <v>4</v>
      </c>
      <c r="E19" t="s">
        <v>6</v>
      </c>
      <c r="F19" t="s">
        <v>6</v>
      </c>
      <c r="G19" t="s">
        <v>6</v>
      </c>
      <c r="H19" t="s">
        <v>69</v>
      </c>
      <c r="I19">
        <v>1</v>
      </c>
      <c r="J19" t="s">
        <v>261</v>
      </c>
      <c r="K19" t="s">
        <v>284</v>
      </c>
      <c r="L19" t="s">
        <v>68</v>
      </c>
      <c r="M19" t="s">
        <v>69</v>
      </c>
      <c r="N19">
        <v>0</v>
      </c>
      <c r="O19" t="s">
        <v>285</v>
      </c>
    </row>
    <row r="20" spans="1:15" x14ac:dyDescent="0.25">
      <c r="A20" t="s">
        <v>280</v>
      </c>
      <c r="B20" t="s">
        <v>281</v>
      </c>
      <c r="C20">
        <v>2</v>
      </c>
      <c r="D20">
        <v>4</v>
      </c>
      <c r="E20" t="s">
        <v>6</v>
      </c>
      <c r="F20" t="s">
        <v>6</v>
      </c>
      <c r="G20" t="s">
        <v>6</v>
      </c>
      <c r="H20" t="s">
        <v>69</v>
      </c>
      <c r="I20">
        <v>1</v>
      </c>
      <c r="J20" t="s">
        <v>104</v>
      </c>
      <c r="K20" t="s">
        <v>286</v>
      </c>
      <c r="L20" t="s">
        <v>68</v>
      </c>
      <c r="M20" t="s">
        <v>69</v>
      </c>
      <c r="N20">
        <v>0</v>
      </c>
      <c r="O20" t="s">
        <v>287</v>
      </c>
    </row>
    <row r="21" spans="1:15" x14ac:dyDescent="0.25">
      <c r="A21" t="s">
        <v>280</v>
      </c>
      <c r="B21" t="s">
        <v>281</v>
      </c>
      <c r="C21">
        <v>2</v>
      </c>
      <c r="D21">
        <v>4</v>
      </c>
      <c r="E21" t="s">
        <v>6</v>
      </c>
      <c r="F21" t="s">
        <v>6</v>
      </c>
      <c r="G21" t="s">
        <v>6</v>
      </c>
      <c r="H21" t="s">
        <v>69</v>
      </c>
      <c r="I21">
        <v>1</v>
      </c>
      <c r="J21" t="s">
        <v>104</v>
      </c>
      <c r="K21" t="s">
        <v>288</v>
      </c>
      <c r="L21" t="s">
        <v>68</v>
      </c>
      <c r="M21" t="s">
        <v>69</v>
      </c>
      <c r="N21">
        <v>0</v>
      </c>
      <c r="O21" t="s">
        <v>287</v>
      </c>
    </row>
    <row r="22" spans="1:15" x14ac:dyDescent="0.25">
      <c r="A22" t="s">
        <v>280</v>
      </c>
      <c r="B22" t="s">
        <v>281</v>
      </c>
      <c r="C22">
        <v>2</v>
      </c>
      <c r="D22">
        <v>4</v>
      </c>
      <c r="E22" t="s">
        <v>6</v>
      </c>
      <c r="F22" t="s">
        <v>6</v>
      </c>
      <c r="G22" t="s">
        <v>6</v>
      </c>
      <c r="H22" t="s">
        <v>69</v>
      </c>
      <c r="I22">
        <v>1</v>
      </c>
      <c r="J22" t="s">
        <v>107</v>
      </c>
      <c r="K22" t="s">
        <v>289</v>
      </c>
      <c r="L22" t="s">
        <v>68</v>
      </c>
      <c r="M22" t="s">
        <v>69</v>
      </c>
      <c r="N22">
        <v>0</v>
      </c>
      <c r="O22" t="s">
        <v>290</v>
      </c>
    </row>
    <row r="23" spans="1:15" x14ac:dyDescent="0.25">
      <c r="A23" t="s">
        <v>280</v>
      </c>
      <c r="B23" t="s">
        <v>281</v>
      </c>
      <c r="C23">
        <v>2</v>
      </c>
      <c r="D23">
        <v>4</v>
      </c>
      <c r="E23" t="s">
        <v>6</v>
      </c>
      <c r="F23" t="s">
        <v>6</v>
      </c>
      <c r="G23" t="s">
        <v>6</v>
      </c>
      <c r="H23" t="s">
        <v>69</v>
      </c>
      <c r="I23">
        <v>2</v>
      </c>
      <c r="J23" t="s">
        <v>101</v>
      </c>
      <c r="K23" t="s">
        <v>291</v>
      </c>
      <c r="L23" t="s">
        <v>68</v>
      </c>
      <c r="M23" t="s">
        <v>69</v>
      </c>
      <c r="N23">
        <v>0</v>
      </c>
      <c r="O23" t="s">
        <v>283</v>
      </c>
    </row>
    <row r="24" spans="1:15" x14ac:dyDescent="0.25">
      <c r="A24" t="s">
        <v>280</v>
      </c>
      <c r="B24" t="s">
        <v>281</v>
      </c>
      <c r="C24">
        <v>2</v>
      </c>
      <c r="D24">
        <v>4</v>
      </c>
      <c r="E24" t="s">
        <v>6</v>
      </c>
      <c r="F24" t="s">
        <v>6</v>
      </c>
      <c r="G24" t="s">
        <v>6</v>
      </c>
      <c r="H24" t="s">
        <v>69</v>
      </c>
      <c r="I24">
        <v>2</v>
      </c>
      <c r="J24" t="s">
        <v>261</v>
      </c>
      <c r="K24" t="s">
        <v>292</v>
      </c>
      <c r="L24" t="s">
        <v>68</v>
      </c>
      <c r="M24" t="s">
        <v>69</v>
      </c>
      <c r="N24">
        <v>0</v>
      </c>
      <c r="O24" t="s">
        <v>285</v>
      </c>
    </row>
    <row r="25" spans="1:15" x14ac:dyDescent="0.25">
      <c r="A25" t="s">
        <v>280</v>
      </c>
      <c r="B25" t="s">
        <v>281</v>
      </c>
      <c r="C25">
        <v>2</v>
      </c>
      <c r="D25">
        <v>4</v>
      </c>
      <c r="E25" t="s">
        <v>6</v>
      </c>
      <c r="F25" t="s">
        <v>6</v>
      </c>
      <c r="G25" t="s">
        <v>6</v>
      </c>
      <c r="H25" t="s">
        <v>69</v>
      </c>
      <c r="I25">
        <v>2</v>
      </c>
      <c r="J25" t="s">
        <v>104</v>
      </c>
      <c r="K25" t="s">
        <v>293</v>
      </c>
      <c r="L25" t="s">
        <v>68</v>
      </c>
      <c r="M25" t="s">
        <v>69</v>
      </c>
      <c r="N25">
        <v>0</v>
      </c>
      <c r="O25" t="s">
        <v>287</v>
      </c>
    </row>
    <row r="26" spans="1:15" x14ac:dyDescent="0.25">
      <c r="A26" t="s">
        <v>280</v>
      </c>
      <c r="B26" t="s">
        <v>281</v>
      </c>
      <c r="C26">
        <v>2</v>
      </c>
      <c r="D26">
        <v>4</v>
      </c>
      <c r="E26" t="s">
        <v>6</v>
      </c>
      <c r="F26" t="s">
        <v>6</v>
      </c>
      <c r="G26" t="s">
        <v>6</v>
      </c>
      <c r="H26" t="s">
        <v>69</v>
      </c>
      <c r="I26">
        <v>2</v>
      </c>
      <c r="J26" t="s">
        <v>104</v>
      </c>
      <c r="K26" t="s">
        <v>294</v>
      </c>
      <c r="L26" t="s">
        <v>68</v>
      </c>
      <c r="M26" t="s">
        <v>69</v>
      </c>
      <c r="N26">
        <v>0</v>
      </c>
      <c r="O26" t="s">
        <v>287</v>
      </c>
    </row>
    <row r="27" spans="1:15" x14ac:dyDescent="0.25">
      <c r="A27" t="s">
        <v>280</v>
      </c>
      <c r="B27" t="s">
        <v>281</v>
      </c>
      <c r="C27">
        <v>2</v>
      </c>
      <c r="D27">
        <v>4</v>
      </c>
      <c r="E27" t="s">
        <v>6</v>
      </c>
      <c r="F27" t="s">
        <v>6</v>
      </c>
      <c r="G27" t="s">
        <v>6</v>
      </c>
      <c r="H27" t="s">
        <v>69</v>
      </c>
      <c r="I27">
        <v>2</v>
      </c>
      <c r="J27" t="s">
        <v>107</v>
      </c>
      <c r="K27" t="s">
        <v>295</v>
      </c>
      <c r="L27" t="s">
        <v>68</v>
      </c>
      <c r="M27" t="s">
        <v>69</v>
      </c>
      <c r="N27">
        <v>0</v>
      </c>
      <c r="O27" t="s">
        <v>290</v>
      </c>
    </row>
    <row r="28" spans="1:15" x14ac:dyDescent="0.25">
      <c r="A28" t="s">
        <v>280</v>
      </c>
      <c r="B28" t="s">
        <v>296</v>
      </c>
      <c r="C28">
        <v>3</v>
      </c>
      <c r="D28">
        <v>5</v>
      </c>
      <c r="E28" t="s">
        <v>6</v>
      </c>
      <c r="F28" t="s">
        <v>6</v>
      </c>
      <c r="G28" t="s">
        <v>6</v>
      </c>
      <c r="H28" t="s">
        <v>73</v>
      </c>
      <c r="I28">
        <v>1</v>
      </c>
      <c r="J28" t="s">
        <v>261</v>
      </c>
      <c r="K28" t="s">
        <v>297</v>
      </c>
      <c r="L28" t="s">
        <v>72</v>
      </c>
      <c r="M28" t="s">
        <v>73</v>
      </c>
      <c r="N28">
        <v>0</v>
      </c>
      <c r="O28" t="s">
        <v>285</v>
      </c>
    </row>
    <row r="29" spans="1:15" x14ac:dyDescent="0.25">
      <c r="A29" t="s">
        <v>280</v>
      </c>
      <c r="B29" t="s">
        <v>296</v>
      </c>
      <c r="C29">
        <v>3</v>
      </c>
      <c r="D29">
        <v>5</v>
      </c>
      <c r="E29" t="s">
        <v>6</v>
      </c>
      <c r="F29" t="s">
        <v>6</v>
      </c>
      <c r="G29" t="s">
        <v>6</v>
      </c>
      <c r="H29" t="s">
        <v>73</v>
      </c>
      <c r="I29">
        <v>1</v>
      </c>
      <c r="J29" t="s">
        <v>119</v>
      </c>
      <c r="K29" t="s">
        <v>298</v>
      </c>
      <c r="L29" t="s">
        <v>72</v>
      </c>
      <c r="M29" t="s">
        <v>73</v>
      </c>
      <c r="N29">
        <v>0</v>
      </c>
      <c r="O29" t="s">
        <v>299</v>
      </c>
    </row>
    <row r="30" spans="1:15" x14ac:dyDescent="0.25">
      <c r="A30" t="s">
        <v>280</v>
      </c>
      <c r="B30" t="s">
        <v>296</v>
      </c>
      <c r="C30">
        <v>3</v>
      </c>
      <c r="D30">
        <v>5</v>
      </c>
      <c r="E30" t="s">
        <v>6</v>
      </c>
      <c r="F30" t="s">
        <v>6</v>
      </c>
      <c r="G30" t="s">
        <v>6</v>
      </c>
      <c r="H30" t="s">
        <v>73</v>
      </c>
      <c r="I30">
        <v>1</v>
      </c>
      <c r="J30" t="s">
        <v>107</v>
      </c>
      <c r="K30" t="s">
        <v>300</v>
      </c>
      <c r="L30" t="s">
        <v>72</v>
      </c>
      <c r="M30" t="s">
        <v>73</v>
      </c>
      <c r="N30">
        <v>0</v>
      </c>
      <c r="O30" t="s">
        <v>290</v>
      </c>
    </row>
    <row r="31" spans="1:15" x14ac:dyDescent="0.25">
      <c r="A31" t="s">
        <v>280</v>
      </c>
      <c r="B31" t="s">
        <v>296</v>
      </c>
      <c r="C31">
        <v>3</v>
      </c>
      <c r="D31">
        <v>5</v>
      </c>
      <c r="E31" t="s">
        <v>6</v>
      </c>
      <c r="F31" t="s">
        <v>6</v>
      </c>
      <c r="G31" t="s">
        <v>6</v>
      </c>
      <c r="H31" t="s">
        <v>73</v>
      </c>
      <c r="I31">
        <v>1</v>
      </c>
      <c r="J31" t="s">
        <v>104</v>
      </c>
      <c r="K31" t="s">
        <v>301</v>
      </c>
      <c r="L31" t="s">
        <v>72</v>
      </c>
      <c r="M31" t="s">
        <v>73</v>
      </c>
      <c r="N31">
        <v>0</v>
      </c>
      <c r="O31" t="s">
        <v>302</v>
      </c>
    </row>
    <row r="32" spans="1:15" x14ac:dyDescent="0.25">
      <c r="A32" t="s">
        <v>280</v>
      </c>
      <c r="B32" t="s">
        <v>296</v>
      </c>
      <c r="C32">
        <v>3</v>
      </c>
      <c r="D32">
        <v>5</v>
      </c>
      <c r="E32" t="s">
        <v>6</v>
      </c>
      <c r="F32" t="s">
        <v>6</v>
      </c>
      <c r="G32" t="s">
        <v>6</v>
      </c>
      <c r="H32" t="s">
        <v>73</v>
      </c>
      <c r="I32">
        <v>2</v>
      </c>
      <c r="J32" t="s">
        <v>261</v>
      </c>
      <c r="K32" t="s">
        <v>303</v>
      </c>
      <c r="L32" t="s">
        <v>72</v>
      </c>
      <c r="M32" t="s">
        <v>73</v>
      </c>
      <c r="N32">
        <v>0</v>
      </c>
      <c r="O32" t="s">
        <v>285</v>
      </c>
    </row>
    <row r="33" spans="1:15" x14ac:dyDescent="0.25">
      <c r="A33" t="s">
        <v>280</v>
      </c>
      <c r="B33" t="s">
        <v>296</v>
      </c>
      <c r="C33">
        <v>3</v>
      </c>
      <c r="D33">
        <v>5</v>
      </c>
      <c r="E33" t="s">
        <v>6</v>
      </c>
      <c r="F33" t="s">
        <v>6</v>
      </c>
      <c r="G33" t="s">
        <v>6</v>
      </c>
      <c r="H33" t="s">
        <v>73</v>
      </c>
      <c r="I33">
        <v>2</v>
      </c>
      <c r="J33" t="s">
        <v>119</v>
      </c>
      <c r="K33" t="s">
        <v>304</v>
      </c>
      <c r="L33" t="s">
        <v>72</v>
      </c>
      <c r="M33" t="s">
        <v>73</v>
      </c>
      <c r="N33">
        <v>0</v>
      </c>
      <c r="O33" t="s">
        <v>299</v>
      </c>
    </row>
    <row r="34" spans="1:15" x14ac:dyDescent="0.25">
      <c r="A34" t="s">
        <v>280</v>
      </c>
      <c r="B34" t="s">
        <v>296</v>
      </c>
      <c r="C34">
        <v>3</v>
      </c>
      <c r="D34">
        <v>5</v>
      </c>
      <c r="E34" t="s">
        <v>6</v>
      </c>
      <c r="F34" t="s">
        <v>6</v>
      </c>
      <c r="G34" t="s">
        <v>6</v>
      </c>
      <c r="H34" t="s">
        <v>73</v>
      </c>
      <c r="I34">
        <v>2</v>
      </c>
      <c r="J34" t="s">
        <v>107</v>
      </c>
      <c r="K34" t="s">
        <v>305</v>
      </c>
      <c r="L34" t="s">
        <v>72</v>
      </c>
      <c r="M34" t="s">
        <v>73</v>
      </c>
      <c r="N34">
        <v>0</v>
      </c>
      <c r="O34" t="s">
        <v>290</v>
      </c>
    </row>
    <row r="35" spans="1:15" x14ac:dyDescent="0.25">
      <c r="A35" t="s">
        <v>280</v>
      </c>
      <c r="B35" t="s">
        <v>296</v>
      </c>
      <c r="C35">
        <v>3</v>
      </c>
      <c r="D35">
        <v>5</v>
      </c>
      <c r="E35" t="s">
        <v>6</v>
      </c>
      <c r="F35" t="s">
        <v>6</v>
      </c>
      <c r="G35" t="s">
        <v>6</v>
      </c>
      <c r="H35" t="s">
        <v>73</v>
      </c>
      <c r="I35">
        <v>2</v>
      </c>
      <c r="J35" t="s">
        <v>104</v>
      </c>
      <c r="K35" t="s">
        <v>306</v>
      </c>
      <c r="L35" t="s">
        <v>72</v>
      </c>
      <c r="M35" t="s">
        <v>73</v>
      </c>
      <c r="N35">
        <v>0</v>
      </c>
      <c r="O35" t="s">
        <v>302</v>
      </c>
    </row>
    <row r="36" spans="1:15" x14ac:dyDescent="0.25">
      <c r="A36" t="s">
        <v>280</v>
      </c>
      <c r="B36" t="s">
        <v>296</v>
      </c>
      <c r="C36">
        <v>3</v>
      </c>
      <c r="D36">
        <v>5</v>
      </c>
      <c r="E36" t="s">
        <v>6</v>
      </c>
      <c r="F36" t="s">
        <v>6</v>
      </c>
      <c r="G36" t="s">
        <v>6</v>
      </c>
      <c r="H36" t="s">
        <v>73</v>
      </c>
      <c r="I36">
        <v>3</v>
      </c>
      <c r="J36" t="s">
        <v>261</v>
      </c>
      <c r="K36" t="s">
        <v>307</v>
      </c>
      <c r="L36" t="s">
        <v>72</v>
      </c>
      <c r="M36" t="s">
        <v>73</v>
      </c>
      <c r="N36">
        <v>0</v>
      </c>
      <c r="O36" t="s">
        <v>285</v>
      </c>
    </row>
    <row r="37" spans="1:15" x14ac:dyDescent="0.25">
      <c r="A37" t="s">
        <v>280</v>
      </c>
      <c r="B37" t="s">
        <v>296</v>
      </c>
      <c r="C37">
        <v>3</v>
      </c>
      <c r="D37">
        <v>5</v>
      </c>
      <c r="E37" t="s">
        <v>6</v>
      </c>
      <c r="F37" t="s">
        <v>6</v>
      </c>
      <c r="G37" t="s">
        <v>6</v>
      </c>
      <c r="H37" t="s">
        <v>73</v>
      </c>
      <c r="I37">
        <v>3</v>
      </c>
      <c r="J37" t="s">
        <v>119</v>
      </c>
      <c r="K37" t="s">
        <v>308</v>
      </c>
      <c r="L37" t="s">
        <v>72</v>
      </c>
      <c r="M37" t="s">
        <v>73</v>
      </c>
      <c r="N37">
        <v>0</v>
      </c>
      <c r="O37" t="s">
        <v>299</v>
      </c>
    </row>
    <row r="38" spans="1:15" x14ac:dyDescent="0.25">
      <c r="A38" t="s">
        <v>280</v>
      </c>
      <c r="B38" t="s">
        <v>296</v>
      </c>
      <c r="C38">
        <v>3</v>
      </c>
      <c r="D38">
        <v>5</v>
      </c>
      <c r="E38" t="s">
        <v>6</v>
      </c>
      <c r="F38" t="s">
        <v>6</v>
      </c>
      <c r="G38" t="s">
        <v>6</v>
      </c>
      <c r="H38" t="s">
        <v>73</v>
      </c>
      <c r="I38">
        <v>3</v>
      </c>
      <c r="J38" t="s">
        <v>107</v>
      </c>
      <c r="K38" t="s">
        <v>309</v>
      </c>
      <c r="L38" t="s">
        <v>72</v>
      </c>
      <c r="M38" t="s">
        <v>73</v>
      </c>
      <c r="N38">
        <v>0</v>
      </c>
      <c r="O38" t="s">
        <v>290</v>
      </c>
    </row>
    <row r="39" spans="1:15" x14ac:dyDescent="0.25">
      <c r="A39" t="s">
        <v>280</v>
      </c>
      <c r="B39" t="s">
        <v>296</v>
      </c>
      <c r="C39">
        <v>3</v>
      </c>
      <c r="D39">
        <v>5</v>
      </c>
      <c r="E39" t="s">
        <v>6</v>
      </c>
      <c r="F39" t="s">
        <v>6</v>
      </c>
      <c r="G39" t="s">
        <v>6</v>
      </c>
      <c r="H39" t="s">
        <v>73</v>
      </c>
      <c r="I39">
        <v>3</v>
      </c>
      <c r="J39" t="s">
        <v>104</v>
      </c>
      <c r="K39" t="s">
        <v>310</v>
      </c>
      <c r="L39" t="s">
        <v>72</v>
      </c>
      <c r="M39" t="s">
        <v>73</v>
      </c>
      <c r="N39">
        <v>0</v>
      </c>
      <c r="O39" t="s">
        <v>302</v>
      </c>
    </row>
    <row r="40" spans="1:15" x14ac:dyDescent="0.25">
      <c r="A40" t="s">
        <v>280</v>
      </c>
      <c r="B40" t="s">
        <v>311</v>
      </c>
      <c r="C40">
        <v>4</v>
      </c>
      <c r="D40">
        <v>6</v>
      </c>
      <c r="E40" t="s">
        <v>6</v>
      </c>
      <c r="F40" t="s">
        <v>6</v>
      </c>
      <c r="G40" t="s">
        <v>6</v>
      </c>
      <c r="H40" t="s">
        <v>77</v>
      </c>
      <c r="I40">
        <v>1</v>
      </c>
      <c r="J40" t="s">
        <v>101</v>
      </c>
      <c r="K40" t="s">
        <v>312</v>
      </c>
      <c r="L40" t="s">
        <v>76</v>
      </c>
      <c r="M40" t="s">
        <v>77</v>
      </c>
      <c r="N40">
        <v>0</v>
      </c>
      <c r="O40" t="s">
        <v>313</v>
      </c>
    </row>
    <row r="41" spans="1:15" x14ac:dyDescent="0.25">
      <c r="A41" t="s">
        <v>280</v>
      </c>
      <c r="B41" t="s">
        <v>311</v>
      </c>
      <c r="C41">
        <v>4</v>
      </c>
      <c r="D41">
        <v>6</v>
      </c>
      <c r="E41" t="s">
        <v>6</v>
      </c>
      <c r="F41" t="s">
        <v>6</v>
      </c>
      <c r="G41" t="s">
        <v>6</v>
      </c>
      <c r="H41" t="s">
        <v>77</v>
      </c>
      <c r="I41">
        <v>1</v>
      </c>
      <c r="J41" t="s">
        <v>261</v>
      </c>
      <c r="K41" t="s">
        <v>314</v>
      </c>
      <c r="L41" t="s">
        <v>76</v>
      </c>
      <c r="M41" t="s">
        <v>77</v>
      </c>
      <c r="N41">
        <v>0</v>
      </c>
      <c r="O41" t="s">
        <v>285</v>
      </c>
    </row>
    <row r="42" spans="1:15" x14ac:dyDescent="0.25">
      <c r="A42" t="s">
        <v>280</v>
      </c>
      <c r="B42" t="s">
        <v>311</v>
      </c>
      <c r="C42">
        <v>4</v>
      </c>
      <c r="D42">
        <v>6</v>
      </c>
      <c r="E42" t="s">
        <v>6</v>
      </c>
      <c r="F42" t="s">
        <v>6</v>
      </c>
      <c r="G42" t="s">
        <v>6</v>
      </c>
      <c r="H42" t="s">
        <v>77</v>
      </c>
      <c r="I42">
        <v>1</v>
      </c>
      <c r="J42" t="s">
        <v>104</v>
      </c>
      <c r="K42" t="s">
        <v>315</v>
      </c>
      <c r="L42" t="s">
        <v>76</v>
      </c>
      <c r="M42" t="s">
        <v>77</v>
      </c>
      <c r="N42">
        <v>0</v>
      </c>
      <c r="O42" t="s">
        <v>316</v>
      </c>
    </row>
    <row r="43" spans="1:15" x14ac:dyDescent="0.25">
      <c r="A43" t="s">
        <v>280</v>
      </c>
      <c r="B43" t="s">
        <v>311</v>
      </c>
      <c r="C43">
        <v>4</v>
      </c>
      <c r="D43">
        <v>6</v>
      </c>
      <c r="E43" t="s">
        <v>6</v>
      </c>
      <c r="F43" t="s">
        <v>6</v>
      </c>
      <c r="G43" t="s">
        <v>6</v>
      </c>
      <c r="H43" t="s">
        <v>77</v>
      </c>
      <c r="I43">
        <v>1</v>
      </c>
      <c r="J43" t="s">
        <v>122</v>
      </c>
      <c r="K43" t="s">
        <v>317</v>
      </c>
      <c r="L43" t="s">
        <v>76</v>
      </c>
      <c r="M43" t="s">
        <v>77</v>
      </c>
      <c r="N43">
        <v>0</v>
      </c>
      <c r="O43" t="s">
        <v>318</v>
      </c>
    </row>
    <row r="44" spans="1:15" x14ac:dyDescent="0.25">
      <c r="A44" t="s">
        <v>280</v>
      </c>
      <c r="B44" t="s">
        <v>311</v>
      </c>
      <c r="C44">
        <v>4</v>
      </c>
      <c r="D44">
        <v>6</v>
      </c>
      <c r="E44" t="s">
        <v>6</v>
      </c>
      <c r="F44" t="s">
        <v>6</v>
      </c>
      <c r="G44" t="s">
        <v>6</v>
      </c>
      <c r="H44" t="s">
        <v>77</v>
      </c>
      <c r="I44">
        <v>2</v>
      </c>
      <c r="J44" t="s">
        <v>101</v>
      </c>
      <c r="K44" t="s">
        <v>319</v>
      </c>
      <c r="L44" t="s">
        <v>76</v>
      </c>
      <c r="M44" t="s">
        <v>77</v>
      </c>
      <c r="N44">
        <v>0</v>
      </c>
      <c r="O44" t="s">
        <v>313</v>
      </c>
    </row>
    <row r="45" spans="1:15" x14ac:dyDescent="0.25">
      <c r="A45" t="s">
        <v>280</v>
      </c>
      <c r="B45" t="s">
        <v>311</v>
      </c>
      <c r="C45">
        <v>4</v>
      </c>
      <c r="D45">
        <v>6</v>
      </c>
      <c r="E45" t="s">
        <v>6</v>
      </c>
      <c r="F45" t="s">
        <v>6</v>
      </c>
      <c r="G45" t="s">
        <v>6</v>
      </c>
      <c r="H45" t="s">
        <v>77</v>
      </c>
      <c r="I45">
        <v>2</v>
      </c>
      <c r="J45" t="s">
        <v>261</v>
      </c>
      <c r="K45" t="s">
        <v>320</v>
      </c>
      <c r="L45" t="s">
        <v>76</v>
      </c>
      <c r="M45" t="s">
        <v>77</v>
      </c>
      <c r="N45">
        <v>0</v>
      </c>
      <c r="O45" t="s">
        <v>285</v>
      </c>
    </row>
    <row r="46" spans="1:15" x14ac:dyDescent="0.25">
      <c r="A46" t="s">
        <v>280</v>
      </c>
      <c r="B46" t="s">
        <v>311</v>
      </c>
      <c r="C46">
        <v>4</v>
      </c>
      <c r="D46">
        <v>6</v>
      </c>
      <c r="E46" t="s">
        <v>6</v>
      </c>
      <c r="F46" t="s">
        <v>6</v>
      </c>
      <c r="G46" t="s">
        <v>6</v>
      </c>
      <c r="H46" t="s">
        <v>77</v>
      </c>
      <c r="I46">
        <v>2</v>
      </c>
      <c r="J46" t="s">
        <v>104</v>
      </c>
      <c r="K46" t="s">
        <v>321</v>
      </c>
      <c r="L46" t="s">
        <v>76</v>
      </c>
      <c r="M46" t="s">
        <v>77</v>
      </c>
      <c r="N46">
        <v>0</v>
      </c>
      <c r="O46" t="s">
        <v>316</v>
      </c>
    </row>
    <row r="47" spans="1:15" x14ac:dyDescent="0.25">
      <c r="A47" t="s">
        <v>280</v>
      </c>
      <c r="B47" t="s">
        <v>311</v>
      </c>
      <c r="C47">
        <v>4</v>
      </c>
      <c r="D47">
        <v>6</v>
      </c>
      <c r="E47" t="s">
        <v>6</v>
      </c>
      <c r="F47" t="s">
        <v>6</v>
      </c>
      <c r="G47" t="s">
        <v>6</v>
      </c>
      <c r="H47" t="s">
        <v>77</v>
      </c>
      <c r="I47">
        <v>2</v>
      </c>
      <c r="J47" t="s">
        <v>122</v>
      </c>
      <c r="K47" t="s">
        <v>322</v>
      </c>
      <c r="L47" t="s">
        <v>76</v>
      </c>
      <c r="M47" t="s">
        <v>77</v>
      </c>
      <c r="N47">
        <v>0</v>
      </c>
      <c r="O47" t="s">
        <v>318</v>
      </c>
    </row>
    <row r="48" spans="1:15" x14ac:dyDescent="0.25">
      <c r="A48" t="s">
        <v>280</v>
      </c>
      <c r="B48" t="s">
        <v>323</v>
      </c>
      <c r="C48">
        <v>5</v>
      </c>
      <c r="D48">
        <v>7</v>
      </c>
      <c r="E48" t="s">
        <v>6</v>
      </c>
      <c r="F48" t="s">
        <v>6</v>
      </c>
      <c r="G48" t="s">
        <v>6</v>
      </c>
      <c r="H48" t="s">
        <v>81</v>
      </c>
      <c r="I48">
        <v>1</v>
      </c>
      <c r="J48" t="s">
        <v>102</v>
      </c>
      <c r="K48" t="s">
        <v>324</v>
      </c>
      <c r="L48" t="s">
        <v>80</v>
      </c>
      <c r="M48" t="s">
        <v>81</v>
      </c>
      <c r="N48">
        <v>0</v>
      </c>
      <c r="O48" t="s">
        <v>260</v>
      </c>
    </row>
    <row r="49" spans="1:15" x14ac:dyDescent="0.25">
      <c r="A49" t="s">
        <v>280</v>
      </c>
      <c r="B49" t="s">
        <v>323</v>
      </c>
      <c r="C49">
        <v>5</v>
      </c>
      <c r="D49">
        <v>7</v>
      </c>
      <c r="E49" t="s">
        <v>6</v>
      </c>
      <c r="F49" t="s">
        <v>6</v>
      </c>
      <c r="G49" t="s">
        <v>6</v>
      </c>
      <c r="H49" t="s">
        <v>81</v>
      </c>
      <c r="I49">
        <v>1</v>
      </c>
      <c r="J49" t="s">
        <v>104</v>
      </c>
      <c r="K49" t="s">
        <v>325</v>
      </c>
      <c r="L49" t="s">
        <v>80</v>
      </c>
      <c r="M49" t="s">
        <v>81</v>
      </c>
      <c r="N49">
        <v>0</v>
      </c>
      <c r="O49" t="s">
        <v>302</v>
      </c>
    </row>
    <row r="50" spans="1:15" x14ac:dyDescent="0.25">
      <c r="A50" t="s">
        <v>280</v>
      </c>
      <c r="B50" t="s">
        <v>323</v>
      </c>
      <c r="C50">
        <v>5</v>
      </c>
      <c r="D50">
        <v>7</v>
      </c>
      <c r="E50" t="s">
        <v>6</v>
      </c>
      <c r="F50" t="s">
        <v>6</v>
      </c>
      <c r="G50" t="s">
        <v>6</v>
      </c>
      <c r="H50" t="s">
        <v>81</v>
      </c>
      <c r="I50">
        <v>1</v>
      </c>
      <c r="J50" t="s">
        <v>111</v>
      </c>
      <c r="K50" t="s">
        <v>326</v>
      </c>
      <c r="L50" t="s">
        <v>80</v>
      </c>
      <c r="M50" t="s">
        <v>81</v>
      </c>
      <c r="N50">
        <v>0</v>
      </c>
      <c r="O50" t="s">
        <v>327</v>
      </c>
    </row>
    <row r="51" spans="1:15" x14ac:dyDescent="0.25">
      <c r="A51" t="s">
        <v>280</v>
      </c>
      <c r="B51" t="s">
        <v>323</v>
      </c>
      <c r="C51">
        <v>5</v>
      </c>
      <c r="D51">
        <v>7</v>
      </c>
      <c r="E51" t="s">
        <v>6</v>
      </c>
      <c r="F51" t="s">
        <v>6</v>
      </c>
      <c r="G51" t="s">
        <v>6</v>
      </c>
      <c r="H51" t="s">
        <v>81</v>
      </c>
      <c r="I51">
        <v>2</v>
      </c>
      <c r="J51" t="s">
        <v>102</v>
      </c>
      <c r="K51" t="s">
        <v>328</v>
      </c>
      <c r="L51" t="s">
        <v>80</v>
      </c>
      <c r="M51" t="s">
        <v>81</v>
      </c>
      <c r="N51">
        <v>0</v>
      </c>
      <c r="O51" t="s">
        <v>260</v>
      </c>
    </row>
    <row r="52" spans="1:15" x14ac:dyDescent="0.25">
      <c r="A52" t="s">
        <v>280</v>
      </c>
      <c r="B52" t="s">
        <v>323</v>
      </c>
      <c r="C52">
        <v>5</v>
      </c>
      <c r="D52">
        <v>7</v>
      </c>
      <c r="E52" t="s">
        <v>6</v>
      </c>
      <c r="F52" t="s">
        <v>6</v>
      </c>
      <c r="G52" t="s">
        <v>6</v>
      </c>
      <c r="H52" t="s">
        <v>81</v>
      </c>
      <c r="I52">
        <v>2</v>
      </c>
      <c r="J52" t="s">
        <v>104</v>
      </c>
      <c r="K52" t="s">
        <v>329</v>
      </c>
      <c r="L52" t="s">
        <v>80</v>
      </c>
      <c r="M52" t="s">
        <v>81</v>
      </c>
      <c r="N52">
        <v>0</v>
      </c>
      <c r="O52" t="s">
        <v>302</v>
      </c>
    </row>
    <row r="53" spans="1:15" x14ac:dyDescent="0.25">
      <c r="A53" t="s">
        <v>280</v>
      </c>
      <c r="B53" t="s">
        <v>323</v>
      </c>
      <c r="C53">
        <v>5</v>
      </c>
      <c r="D53">
        <v>7</v>
      </c>
      <c r="E53" t="s">
        <v>6</v>
      </c>
      <c r="F53" t="s">
        <v>6</v>
      </c>
      <c r="G53" t="s">
        <v>6</v>
      </c>
      <c r="H53" t="s">
        <v>81</v>
      </c>
      <c r="I53">
        <v>2</v>
      </c>
      <c r="J53" t="s">
        <v>111</v>
      </c>
      <c r="K53" t="s">
        <v>330</v>
      </c>
      <c r="L53" t="s">
        <v>80</v>
      </c>
      <c r="M53" t="s">
        <v>81</v>
      </c>
      <c r="N53">
        <v>0</v>
      </c>
      <c r="O53" t="s">
        <v>327</v>
      </c>
    </row>
    <row r="54" spans="1:15" x14ac:dyDescent="0.25">
      <c r="A54" t="s">
        <v>280</v>
      </c>
      <c r="B54" t="s">
        <v>323</v>
      </c>
      <c r="C54">
        <v>5</v>
      </c>
      <c r="D54">
        <v>7</v>
      </c>
      <c r="E54" t="s">
        <v>6</v>
      </c>
      <c r="F54" t="s">
        <v>6</v>
      </c>
      <c r="G54" t="s">
        <v>6</v>
      </c>
      <c r="H54" t="s">
        <v>81</v>
      </c>
      <c r="I54">
        <v>3</v>
      </c>
      <c r="J54" t="s">
        <v>102</v>
      </c>
      <c r="K54" t="s">
        <v>331</v>
      </c>
      <c r="L54" t="s">
        <v>80</v>
      </c>
      <c r="M54" t="s">
        <v>81</v>
      </c>
      <c r="N54">
        <v>0</v>
      </c>
      <c r="O54" t="s">
        <v>260</v>
      </c>
    </row>
    <row r="55" spans="1:15" x14ac:dyDescent="0.25">
      <c r="A55" t="s">
        <v>280</v>
      </c>
      <c r="B55" t="s">
        <v>323</v>
      </c>
      <c r="C55">
        <v>5</v>
      </c>
      <c r="D55">
        <v>7</v>
      </c>
      <c r="E55" t="s">
        <v>6</v>
      </c>
      <c r="F55" t="s">
        <v>6</v>
      </c>
      <c r="G55" t="s">
        <v>6</v>
      </c>
      <c r="H55" t="s">
        <v>81</v>
      </c>
      <c r="I55">
        <v>3</v>
      </c>
      <c r="J55" t="s">
        <v>104</v>
      </c>
      <c r="K55" t="s">
        <v>332</v>
      </c>
      <c r="L55" t="s">
        <v>80</v>
      </c>
      <c r="M55" t="s">
        <v>81</v>
      </c>
      <c r="N55">
        <v>0</v>
      </c>
      <c r="O55" t="s">
        <v>302</v>
      </c>
    </row>
    <row r="56" spans="1:15" x14ac:dyDescent="0.25">
      <c r="A56" t="s">
        <v>280</v>
      </c>
      <c r="B56" t="s">
        <v>323</v>
      </c>
      <c r="C56">
        <v>5</v>
      </c>
      <c r="D56">
        <v>7</v>
      </c>
      <c r="E56" t="s">
        <v>6</v>
      </c>
      <c r="F56" t="s">
        <v>6</v>
      </c>
      <c r="G56" t="s">
        <v>6</v>
      </c>
      <c r="H56" t="s">
        <v>81</v>
      </c>
      <c r="I56">
        <v>3</v>
      </c>
      <c r="J56" t="s">
        <v>111</v>
      </c>
      <c r="K56" t="s">
        <v>333</v>
      </c>
      <c r="L56" t="s">
        <v>80</v>
      </c>
      <c r="M56" t="s">
        <v>81</v>
      </c>
      <c r="N56">
        <v>0</v>
      </c>
      <c r="O56" t="s">
        <v>327</v>
      </c>
    </row>
    <row r="57" spans="1:15" x14ac:dyDescent="0.25">
      <c r="A57" t="s">
        <v>280</v>
      </c>
      <c r="B57" t="s">
        <v>334</v>
      </c>
      <c r="C57">
        <v>6</v>
      </c>
      <c r="D57">
        <v>8</v>
      </c>
      <c r="E57" t="s">
        <v>6</v>
      </c>
      <c r="F57" t="s">
        <v>6</v>
      </c>
      <c r="G57" t="s">
        <v>6</v>
      </c>
      <c r="H57" t="s">
        <v>85</v>
      </c>
      <c r="I57">
        <v>1</v>
      </c>
      <c r="J57" t="s">
        <v>101</v>
      </c>
      <c r="K57" t="s">
        <v>335</v>
      </c>
      <c r="L57" t="s">
        <v>84</v>
      </c>
      <c r="M57" t="s">
        <v>85</v>
      </c>
      <c r="N57">
        <v>0</v>
      </c>
      <c r="O57" t="s">
        <v>336</v>
      </c>
    </row>
    <row r="58" spans="1:15" x14ac:dyDescent="0.25">
      <c r="A58" t="s">
        <v>280</v>
      </c>
      <c r="B58" t="s">
        <v>334</v>
      </c>
      <c r="C58">
        <v>6</v>
      </c>
      <c r="D58">
        <v>8</v>
      </c>
      <c r="E58" t="s">
        <v>6</v>
      </c>
      <c r="F58" t="s">
        <v>6</v>
      </c>
      <c r="G58" t="s">
        <v>6</v>
      </c>
      <c r="H58" t="s">
        <v>85</v>
      </c>
      <c r="I58">
        <v>1</v>
      </c>
      <c r="J58" t="s">
        <v>130</v>
      </c>
      <c r="K58" t="s">
        <v>337</v>
      </c>
      <c r="L58" t="s">
        <v>84</v>
      </c>
      <c r="M58" t="s">
        <v>85</v>
      </c>
      <c r="N58">
        <v>0</v>
      </c>
      <c r="O58" t="s">
        <v>285</v>
      </c>
    </row>
    <row r="59" spans="1:15" x14ac:dyDescent="0.25">
      <c r="A59" t="s">
        <v>280</v>
      </c>
      <c r="B59" t="s">
        <v>334</v>
      </c>
      <c r="C59">
        <v>6</v>
      </c>
      <c r="D59">
        <v>8</v>
      </c>
      <c r="E59" t="s">
        <v>6</v>
      </c>
      <c r="F59" t="s">
        <v>6</v>
      </c>
      <c r="G59" t="s">
        <v>6</v>
      </c>
      <c r="H59" t="s">
        <v>85</v>
      </c>
      <c r="I59">
        <v>1</v>
      </c>
      <c r="J59" t="s">
        <v>104</v>
      </c>
      <c r="K59" t="s">
        <v>338</v>
      </c>
      <c r="L59" t="s">
        <v>84</v>
      </c>
      <c r="M59" t="s">
        <v>85</v>
      </c>
      <c r="N59">
        <v>0</v>
      </c>
      <c r="O59" t="s">
        <v>339</v>
      </c>
    </row>
    <row r="60" spans="1:15" x14ac:dyDescent="0.25">
      <c r="A60" t="s">
        <v>280</v>
      </c>
      <c r="B60" t="s">
        <v>334</v>
      </c>
      <c r="C60">
        <v>6</v>
      </c>
      <c r="D60">
        <v>8</v>
      </c>
      <c r="E60" t="s">
        <v>6</v>
      </c>
      <c r="F60" t="s">
        <v>6</v>
      </c>
      <c r="G60" t="s">
        <v>6</v>
      </c>
      <c r="H60" t="s">
        <v>85</v>
      </c>
      <c r="I60">
        <v>1</v>
      </c>
      <c r="J60" t="s">
        <v>110</v>
      </c>
      <c r="K60" t="s">
        <v>340</v>
      </c>
      <c r="L60" t="s">
        <v>84</v>
      </c>
      <c r="M60" t="s">
        <v>85</v>
      </c>
      <c r="N60">
        <v>0</v>
      </c>
      <c r="O60" t="s">
        <v>341</v>
      </c>
    </row>
    <row r="61" spans="1:15" x14ac:dyDescent="0.25">
      <c r="A61" t="s">
        <v>280</v>
      </c>
      <c r="B61" t="s">
        <v>334</v>
      </c>
      <c r="C61">
        <v>6</v>
      </c>
      <c r="D61">
        <v>8</v>
      </c>
      <c r="E61" t="s">
        <v>6</v>
      </c>
      <c r="F61" t="s">
        <v>6</v>
      </c>
      <c r="G61" t="s">
        <v>6</v>
      </c>
      <c r="H61" t="s">
        <v>85</v>
      </c>
      <c r="I61">
        <v>2</v>
      </c>
      <c r="J61" t="s">
        <v>101</v>
      </c>
      <c r="K61" t="s">
        <v>342</v>
      </c>
      <c r="L61" t="s">
        <v>84</v>
      </c>
      <c r="M61" t="s">
        <v>85</v>
      </c>
      <c r="N61">
        <v>0</v>
      </c>
      <c r="O61" t="s">
        <v>336</v>
      </c>
    </row>
    <row r="62" spans="1:15" x14ac:dyDescent="0.25">
      <c r="A62" t="s">
        <v>280</v>
      </c>
      <c r="B62" t="s">
        <v>334</v>
      </c>
      <c r="C62">
        <v>6</v>
      </c>
      <c r="D62">
        <v>8</v>
      </c>
      <c r="E62" t="s">
        <v>6</v>
      </c>
      <c r="F62" t="s">
        <v>6</v>
      </c>
      <c r="G62" t="s">
        <v>6</v>
      </c>
      <c r="H62" t="s">
        <v>85</v>
      </c>
      <c r="I62">
        <v>2</v>
      </c>
      <c r="J62" t="s">
        <v>130</v>
      </c>
      <c r="K62" t="s">
        <v>343</v>
      </c>
      <c r="L62" t="s">
        <v>84</v>
      </c>
      <c r="M62" t="s">
        <v>85</v>
      </c>
      <c r="N62">
        <v>0</v>
      </c>
      <c r="O62" t="s">
        <v>285</v>
      </c>
    </row>
    <row r="63" spans="1:15" x14ac:dyDescent="0.25">
      <c r="A63" t="s">
        <v>280</v>
      </c>
      <c r="B63" t="s">
        <v>334</v>
      </c>
      <c r="C63">
        <v>6</v>
      </c>
      <c r="D63">
        <v>8</v>
      </c>
      <c r="E63" t="s">
        <v>6</v>
      </c>
      <c r="F63" t="s">
        <v>6</v>
      </c>
      <c r="G63" t="s">
        <v>6</v>
      </c>
      <c r="H63" t="s">
        <v>85</v>
      </c>
      <c r="I63">
        <v>2</v>
      </c>
      <c r="J63" t="s">
        <v>104</v>
      </c>
      <c r="K63" t="s">
        <v>344</v>
      </c>
      <c r="L63" t="s">
        <v>84</v>
      </c>
      <c r="M63" t="s">
        <v>85</v>
      </c>
      <c r="N63">
        <v>0</v>
      </c>
      <c r="O63" t="s">
        <v>339</v>
      </c>
    </row>
    <row r="64" spans="1:15" x14ac:dyDescent="0.25">
      <c r="A64" t="s">
        <v>280</v>
      </c>
      <c r="B64" t="s">
        <v>334</v>
      </c>
      <c r="C64">
        <v>6</v>
      </c>
      <c r="D64">
        <v>8</v>
      </c>
      <c r="E64" t="s">
        <v>6</v>
      </c>
      <c r="F64" t="s">
        <v>6</v>
      </c>
      <c r="G64" t="s">
        <v>6</v>
      </c>
      <c r="H64" t="s">
        <v>85</v>
      </c>
      <c r="I64">
        <v>2</v>
      </c>
      <c r="J64" t="s">
        <v>110</v>
      </c>
      <c r="K64" t="s">
        <v>345</v>
      </c>
      <c r="L64" t="s">
        <v>84</v>
      </c>
      <c r="M64" t="s">
        <v>85</v>
      </c>
      <c r="N64">
        <v>0</v>
      </c>
      <c r="O64" t="s">
        <v>341</v>
      </c>
    </row>
    <row r="65" spans="1:15" x14ac:dyDescent="0.25">
      <c r="A65" t="s">
        <v>280</v>
      </c>
      <c r="B65" t="s">
        <v>334</v>
      </c>
      <c r="C65">
        <v>6</v>
      </c>
      <c r="D65">
        <v>8</v>
      </c>
      <c r="E65" t="s">
        <v>6</v>
      </c>
      <c r="F65" t="s">
        <v>6</v>
      </c>
      <c r="G65" t="s">
        <v>6</v>
      </c>
      <c r="H65" t="s">
        <v>85</v>
      </c>
      <c r="I65">
        <v>3</v>
      </c>
      <c r="J65" t="s">
        <v>101</v>
      </c>
      <c r="K65" t="s">
        <v>346</v>
      </c>
      <c r="L65" t="s">
        <v>84</v>
      </c>
      <c r="M65" t="s">
        <v>85</v>
      </c>
      <c r="N65">
        <v>0</v>
      </c>
      <c r="O65" t="s">
        <v>336</v>
      </c>
    </row>
    <row r="66" spans="1:15" x14ac:dyDescent="0.25">
      <c r="A66" t="s">
        <v>280</v>
      </c>
      <c r="B66" t="s">
        <v>334</v>
      </c>
      <c r="C66">
        <v>6</v>
      </c>
      <c r="D66">
        <v>8</v>
      </c>
      <c r="E66" t="s">
        <v>6</v>
      </c>
      <c r="F66" t="s">
        <v>6</v>
      </c>
      <c r="G66" t="s">
        <v>6</v>
      </c>
      <c r="H66" t="s">
        <v>85</v>
      </c>
      <c r="I66">
        <v>3</v>
      </c>
      <c r="J66" t="s">
        <v>130</v>
      </c>
      <c r="K66" t="s">
        <v>347</v>
      </c>
      <c r="L66" t="s">
        <v>84</v>
      </c>
      <c r="M66" t="s">
        <v>85</v>
      </c>
      <c r="N66">
        <v>0</v>
      </c>
      <c r="O66" t="s">
        <v>285</v>
      </c>
    </row>
    <row r="67" spans="1:15" x14ac:dyDescent="0.25">
      <c r="A67" t="s">
        <v>280</v>
      </c>
      <c r="B67" t="s">
        <v>334</v>
      </c>
      <c r="C67">
        <v>6</v>
      </c>
      <c r="D67">
        <v>8</v>
      </c>
      <c r="E67" t="s">
        <v>6</v>
      </c>
      <c r="F67" t="s">
        <v>6</v>
      </c>
      <c r="G67" t="s">
        <v>6</v>
      </c>
      <c r="H67" t="s">
        <v>85</v>
      </c>
      <c r="I67">
        <v>3</v>
      </c>
      <c r="J67" t="s">
        <v>104</v>
      </c>
      <c r="K67" t="s">
        <v>348</v>
      </c>
      <c r="L67" t="s">
        <v>84</v>
      </c>
      <c r="M67" t="s">
        <v>85</v>
      </c>
      <c r="N67">
        <v>0</v>
      </c>
      <c r="O67" t="s">
        <v>339</v>
      </c>
    </row>
    <row r="68" spans="1:15" x14ac:dyDescent="0.25">
      <c r="A68" t="s">
        <v>280</v>
      </c>
      <c r="B68" t="s">
        <v>334</v>
      </c>
      <c r="C68">
        <v>6</v>
      </c>
      <c r="D68">
        <v>8</v>
      </c>
      <c r="E68" t="s">
        <v>6</v>
      </c>
      <c r="F68" t="s">
        <v>6</v>
      </c>
      <c r="G68" t="s">
        <v>6</v>
      </c>
      <c r="H68" t="s">
        <v>85</v>
      </c>
      <c r="I68">
        <v>3</v>
      </c>
      <c r="J68" t="s">
        <v>110</v>
      </c>
      <c r="K68" t="s">
        <v>349</v>
      </c>
      <c r="L68" t="s">
        <v>84</v>
      </c>
      <c r="M68" t="s">
        <v>85</v>
      </c>
      <c r="N68">
        <v>0</v>
      </c>
      <c r="O68" t="s">
        <v>341</v>
      </c>
    </row>
    <row r="69" spans="1:15" x14ac:dyDescent="0.25">
      <c r="A69" t="s">
        <v>280</v>
      </c>
      <c r="B69" t="s">
        <v>334</v>
      </c>
      <c r="C69">
        <v>6</v>
      </c>
      <c r="D69">
        <v>8</v>
      </c>
      <c r="E69" t="s">
        <v>6</v>
      </c>
      <c r="F69" t="s">
        <v>6</v>
      </c>
      <c r="G69" t="s">
        <v>6</v>
      </c>
      <c r="H69" t="s">
        <v>85</v>
      </c>
      <c r="I69">
        <v>4</v>
      </c>
      <c r="J69" t="s">
        <v>101</v>
      </c>
      <c r="K69" t="s">
        <v>350</v>
      </c>
      <c r="L69" t="s">
        <v>84</v>
      </c>
      <c r="M69" t="s">
        <v>85</v>
      </c>
      <c r="N69">
        <v>0</v>
      </c>
      <c r="O69" t="s">
        <v>336</v>
      </c>
    </row>
    <row r="70" spans="1:15" x14ac:dyDescent="0.25">
      <c r="A70" t="s">
        <v>280</v>
      </c>
      <c r="B70" t="s">
        <v>334</v>
      </c>
      <c r="C70">
        <v>6</v>
      </c>
      <c r="D70">
        <v>8</v>
      </c>
      <c r="E70" t="s">
        <v>6</v>
      </c>
      <c r="F70" t="s">
        <v>6</v>
      </c>
      <c r="G70" t="s">
        <v>6</v>
      </c>
      <c r="H70" t="s">
        <v>85</v>
      </c>
      <c r="I70">
        <v>4</v>
      </c>
      <c r="J70" t="s">
        <v>130</v>
      </c>
      <c r="K70" t="s">
        <v>351</v>
      </c>
      <c r="L70" t="s">
        <v>84</v>
      </c>
      <c r="M70" t="s">
        <v>85</v>
      </c>
      <c r="N70">
        <v>0</v>
      </c>
      <c r="O70" t="s">
        <v>285</v>
      </c>
    </row>
    <row r="71" spans="1:15" x14ac:dyDescent="0.25">
      <c r="A71" t="s">
        <v>280</v>
      </c>
      <c r="B71" t="s">
        <v>334</v>
      </c>
      <c r="C71">
        <v>6</v>
      </c>
      <c r="D71">
        <v>8</v>
      </c>
      <c r="E71" t="s">
        <v>6</v>
      </c>
      <c r="F71" t="s">
        <v>6</v>
      </c>
      <c r="G71" t="s">
        <v>6</v>
      </c>
      <c r="H71" t="s">
        <v>85</v>
      </c>
      <c r="I71">
        <v>4</v>
      </c>
      <c r="J71" t="s">
        <v>104</v>
      </c>
      <c r="K71" t="s">
        <v>352</v>
      </c>
      <c r="L71" t="s">
        <v>84</v>
      </c>
      <c r="M71" t="s">
        <v>85</v>
      </c>
      <c r="N71">
        <v>0</v>
      </c>
      <c r="O71" t="s">
        <v>339</v>
      </c>
    </row>
    <row r="72" spans="1:15" x14ac:dyDescent="0.25">
      <c r="A72" t="s">
        <v>280</v>
      </c>
      <c r="B72" t="s">
        <v>334</v>
      </c>
      <c r="C72">
        <v>6</v>
      </c>
      <c r="D72">
        <v>8</v>
      </c>
      <c r="E72" t="s">
        <v>6</v>
      </c>
      <c r="F72" t="s">
        <v>6</v>
      </c>
      <c r="G72" t="s">
        <v>6</v>
      </c>
      <c r="H72" t="s">
        <v>85</v>
      </c>
      <c r="I72">
        <v>4</v>
      </c>
      <c r="J72" t="s">
        <v>110</v>
      </c>
      <c r="K72" t="s">
        <v>353</v>
      </c>
      <c r="L72" t="s">
        <v>84</v>
      </c>
      <c r="M72" t="s">
        <v>85</v>
      </c>
      <c r="N72">
        <v>0</v>
      </c>
      <c r="O72" t="s">
        <v>341</v>
      </c>
    </row>
    <row r="73" spans="1:15" x14ac:dyDescent="0.25">
      <c r="A73" t="s">
        <v>280</v>
      </c>
      <c r="B73" t="s">
        <v>354</v>
      </c>
      <c r="C73">
        <v>7</v>
      </c>
      <c r="D73">
        <v>9</v>
      </c>
      <c r="E73" t="s">
        <v>6</v>
      </c>
      <c r="F73" t="s">
        <v>6</v>
      </c>
      <c r="G73" t="s">
        <v>6</v>
      </c>
      <c r="H73" t="s">
        <v>89</v>
      </c>
      <c r="I73">
        <v>1</v>
      </c>
      <c r="J73" t="s">
        <v>101</v>
      </c>
      <c r="K73" t="s">
        <v>355</v>
      </c>
      <c r="L73" t="s">
        <v>88</v>
      </c>
      <c r="M73" t="s">
        <v>89</v>
      </c>
      <c r="N73">
        <v>0</v>
      </c>
      <c r="O73" t="s">
        <v>356</v>
      </c>
    </row>
    <row r="74" spans="1:15" x14ac:dyDescent="0.25">
      <c r="A74" t="s">
        <v>280</v>
      </c>
      <c r="B74" t="s">
        <v>354</v>
      </c>
      <c r="C74">
        <v>7</v>
      </c>
      <c r="D74">
        <v>9</v>
      </c>
      <c r="E74" t="s">
        <v>6</v>
      </c>
      <c r="F74" t="s">
        <v>6</v>
      </c>
      <c r="G74" t="s">
        <v>6</v>
      </c>
      <c r="H74" t="s">
        <v>89</v>
      </c>
      <c r="I74">
        <v>1</v>
      </c>
      <c r="J74" t="s">
        <v>101</v>
      </c>
      <c r="K74" t="s">
        <v>357</v>
      </c>
      <c r="L74" t="s">
        <v>88</v>
      </c>
      <c r="M74" t="s">
        <v>89</v>
      </c>
      <c r="N74">
        <v>0</v>
      </c>
      <c r="O74" t="s">
        <v>356</v>
      </c>
    </row>
    <row r="75" spans="1:15" x14ac:dyDescent="0.25">
      <c r="A75" t="s">
        <v>280</v>
      </c>
      <c r="B75" t="s">
        <v>354</v>
      </c>
      <c r="C75">
        <v>7</v>
      </c>
      <c r="D75">
        <v>9</v>
      </c>
      <c r="E75" t="s">
        <v>6</v>
      </c>
      <c r="F75" t="s">
        <v>6</v>
      </c>
      <c r="G75" t="s">
        <v>6</v>
      </c>
      <c r="H75" t="s">
        <v>89</v>
      </c>
      <c r="I75">
        <v>1</v>
      </c>
      <c r="J75" t="s">
        <v>134</v>
      </c>
      <c r="K75" t="s">
        <v>358</v>
      </c>
      <c r="L75" t="s">
        <v>88</v>
      </c>
      <c r="M75" t="s">
        <v>89</v>
      </c>
      <c r="N75">
        <v>0</v>
      </c>
      <c r="O75" t="s">
        <v>359</v>
      </c>
    </row>
    <row r="76" spans="1:15" x14ac:dyDescent="0.25">
      <c r="A76" t="s">
        <v>280</v>
      </c>
      <c r="B76" t="s">
        <v>354</v>
      </c>
      <c r="C76">
        <v>7</v>
      </c>
      <c r="D76">
        <v>9</v>
      </c>
      <c r="E76" t="s">
        <v>6</v>
      </c>
      <c r="F76" t="s">
        <v>6</v>
      </c>
      <c r="G76" t="s">
        <v>6</v>
      </c>
      <c r="H76" t="s">
        <v>89</v>
      </c>
      <c r="I76">
        <v>1</v>
      </c>
      <c r="J76" t="s">
        <v>134</v>
      </c>
      <c r="K76" t="s">
        <v>360</v>
      </c>
      <c r="L76" t="s">
        <v>88</v>
      </c>
      <c r="M76" t="s">
        <v>89</v>
      </c>
      <c r="N76">
        <v>0</v>
      </c>
      <c r="O76" t="s">
        <v>359</v>
      </c>
    </row>
    <row r="77" spans="1:15" x14ac:dyDescent="0.25">
      <c r="A77" t="s">
        <v>280</v>
      </c>
      <c r="B77" t="s">
        <v>354</v>
      </c>
      <c r="C77">
        <v>7</v>
      </c>
      <c r="D77">
        <v>9</v>
      </c>
      <c r="E77" t="s">
        <v>6</v>
      </c>
      <c r="F77" t="s">
        <v>6</v>
      </c>
      <c r="G77" t="s">
        <v>6</v>
      </c>
      <c r="H77" t="s">
        <v>89</v>
      </c>
      <c r="I77">
        <v>1</v>
      </c>
      <c r="J77" t="s">
        <v>111</v>
      </c>
      <c r="K77" t="s">
        <v>361</v>
      </c>
      <c r="L77" t="s">
        <v>88</v>
      </c>
      <c r="M77" t="s">
        <v>89</v>
      </c>
      <c r="N77">
        <v>0</v>
      </c>
      <c r="O77" t="s">
        <v>362</v>
      </c>
    </row>
    <row r="78" spans="1:15" x14ac:dyDescent="0.25">
      <c r="A78" t="s">
        <v>280</v>
      </c>
      <c r="B78" t="s">
        <v>354</v>
      </c>
      <c r="C78">
        <v>7</v>
      </c>
      <c r="D78">
        <v>9</v>
      </c>
      <c r="E78" t="s">
        <v>6</v>
      </c>
      <c r="F78" t="s">
        <v>6</v>
      </c>
      <c r="G78" t="s">
        <v>6</v>
      </c>
      <c r="H78" t="s">
        <v>89</v>
      </c>
      <c r="I78">
        <v>1</v>
      </c>
      <c r="J78" t="s">
        <v>101</v>
      </c>
      <c r="K78" t="s">
        <v>363</v>
      </c>
      <c r="L78" t="s">
        <v>88</v>
      </c>
      <c r="M78" t="s">
        <v>89</v>
      </c>
      <c r="N78">
        <v>0</v>
      </c>
      <c r="O78" t="s">
        <v>356</v>
      </c>
    </row>
    <row r="79" spans="1:15" x14ac:dyDescent="0.25">
      <c r="A79" t="s">
        <v>280</v>
      </c>
      <c r="B79" t="s">
        <v>354</v>
      </c>
      <c r="C79">
        <v>7</v>
      </c>
      <c r="D79">
        <v>9</v>
      </c>
      <c r="E79" t="s">
        <v>6</v>
      </c>
      <c r="F79" t="s">
        <v>6</v>
      </c>
      <c r="G79" t="s">
        <v>6</v>
      </c>
      <c r="H79" t="s">
        <v>89</v>
      </c>
      <c r="I79">
        <v>1</v>
      </c>
      <c r="J79" t="s">
        <v>101</v>
      </c>
      <c r="K79" t="s">
        <v>364</v>
      </c>
      <c r="L79" t="s">
        <v>88</v>
      </c>
      <c r="M79" t="s">
        <v>89</v>
      </c>
      <c r="N79">
        <v>0</v>
      </c>
      <c r="O79" t="s">
        <v>356</v>
      </c>
    </row>
    <row r="80" spans="1:15" x14ac:dyDescent="0.25">
      <c r="A80" t="s">
        <v>280</v>
      </c>
      <c r="B80" t="s">
        <v>354</v>
      </c>
      <c r="C80">
        <v>7</v>
      </c>
      <c r="D80">
        <v>9</v>
      </c>
      <c r="E80" t="s">
        <v>6</v>
      </c>
      <c r="F80" t="s">
        <v>6</v>
      </c>
      <c r="G80" t="s">
        <v>6</v>
      </c>
      <c r="H80" t="s">
        <v>89</v>
      </c>
      <c r="I80">
        <v>1</v>
      </c>
      <c r="J80" t="s">
        <v>134</v>
      </c>
      <c r="K80" t="s">
        <v>365</v>
      </c>
      <c r="L80" t="s">
        <v>88</v>
      </c>
      <c r="M80" t="s">
        <v>89</v>
      </c>
      <c r="N80">
        <v>0</v>
      </c>
      <c r="O80" t="s">
        <v>359</v>
      </c>
    </row>
    <row r="81" spans="1:15" x14ac:dyDescent="0.25">
      <c r="A81" t="s">
        <v>280</v>
      </c>
      <c r="B81" t="s">
        <v>354</v>
      </c>
      <c r="C81">
        <v>7</v>
      </c>
      <c r="D81">
        <v>9</v>
      </c>
      <c r="E81" t="s">
        <v>6</v>
      </c>
      <c r="F81" t="s">
        <v>6</v>
      </c>
      <c r="G81" t="s">
        <v>6</v>
      </c>
      <c r="H81" t="s">
        <v>89</v>
      </c>
      <c r="I81">
        <v>1</v>
      </c>
      <c r="J81" t="s">
        <v>134</v>
      </c>
      <c r="K81" t="s">
        <v>366</v>
      </c>
      <c r="L81" t="s">
        <v>88</v>
      </c>
      <c r="M81" t="s">
        <v>89</v>
      </c>
      <c r="N81">
        <v>0</v>
      </c>
      <c r="O81" t="s">
        <v>359</v>
      </c>
    </row>
    <row r="82" spans="1:15" x14ac:dyDescent="0.25">
      <c r="A82" t="s">
        <v>280</v>
      </c>
      <c r="B82" t="s">
        <v>354</v>
      </c>
      <c r="C82">
        <v>7</v>
      </c>
      <c r="D82">
        <v>9</v>
      </c>
      <c r="E82" t="s">
        <v>6</v>
      </c>
      <c r="F82" t="s">
        <v>6</v>
      </c>
      <c r="G82" t="s">
        <v>6</v>
      </c>
      <c r="H82" t="s">
        <v>89</v>
      </c>
      <c r="I82">
        <v>1</v>
      </c>
      <c r="J82" t="s">
        <v>111</v>
      </c>
      <c r="K82" t="s">
        <v>367</v>
      </c>
      <c r="L82" t="s">
        <v>88</v>
      </c>
      <c r="M82" t="s">
        <v>89</v>
      </c>
      <c r="N82">
        <v>0</v>
      </c>
      <c r="O82" t="s">
        <v>362</v>
      </c>
    </row>
    <row r="83" spans="1:15" x14ac:dyDescent="0.25">
      <c r="A83" t="s">
        <v>280</v>
      </c>
      <c r="B83" t="s">
        <v>354</v>
      </c>
      <c r="C83">
        <v>7</v>
      </c>
      <c r="D83">
        <v>9</v>
      </c>
      <c r="E83" t="s">
        <v>6</v>
      </c>
      <c r="F83" t="s">
        <v>6</v>
      </c>
      <c r="G83" t="s">
        <v>6</v>
      </c>
      <c r="H83" t="s">
        <v>89</v>
      </c>
      <c r="I83">
        <v>1</v>
      </c>
      <c r="J83" t="s">
        <v>101</v>
      </c>
      <c r="K83" t="s">
        <v>368</v>
      </c>
      <c r="L83" t="s">
        <v>88</v>
      </c>
      <c r="M83" t="s">
        <v>89</v>
      </c>
      <c r="N83">
        <v>0</v>
      </c>
      <c r="O83" t="s">
        <v>356</v>
      </c>
    </row>
    <row r="84" spans="1:15" x14ac:dyDescent="0.25">
      <c r="A84" t="s">
        <v>280</v>
      </c>
      <c r="B84" t="s">
        <v>354</v>
      </c>
      <c r="C84">
        <v>7</v>
      </c>
      <c r="D84">
        <v>9</v>
      </c>
      <c r="E84" t="s">
        <v>6</v>
      </c>
      <c r="F84" t="s">
        <v>6</v>
      </c>
      <c r="G84" t="s">
        <v>6</v>
      </c>
      <c r="H84" t="s">
        <v>89</v>
      </c>
      <c r="I84">
        <v>1</v>
      </c>
      <c r="J84" t="s">
        <v>101</v>
      </c>
      <c r="K84" t="s">
        <v>369</v>
      </c>
      <c r="L84" t="s">
        <v>88</v>
      </c>
      <c r="M84" t="s">
        <v>89</v>
      </c>
      <c r="N84">
        <v>0</v>
      </c>
      <c r="O84" t="s">
        <v>356</v>
      </c>
    </row>
    <row r="85" spans="1:15" x14ac:dyDescent="0.25">
      <c r="A85" t="s">
        <v>280</v>
      </c>
      <c r="B85" t="s">
        <v>354</v>
      </c>
      <c r="C85">
        <v>7</v>
      </c>
      <c r="D85">
        <v>9</v>
      </c>
      <c r="E85" t="s">
        <v>6</v>
      </c>
      <c r="F85" t="s">
        <v>6</v>
      </c>
      <c r="G85" t="s">
        <v>6</v>
      </c>
      <c r="H85" t="s">
        <v>89</v>
      </c>
      <c r="I85">
        <v>1</v>
      </c>
      <c r="J85" t="s">
        <v>135</v>
      </c>
      <c r="K85" t="s">
        <v>370</v>
      </c>
      <c r="L85" t="s">
        <v>88</v>
      </c>
      <c r="M85" t="s">
        <v>89</v>
      </c>
      <c r="N85">
        <v>0</v>
      </c>
      <c r="O85" t="s">
        <v>299</v>
      </c>
    </row>
    <row r="86" spans="1:15" x14ac:dyDescent="0.25">
      <c r="A86" t="s">
        <v>280</v>
      </c>
      <c r="B86" t="s">
        <v>354</v>
      </c>
      <c r="C86">
        <v>7</v>
      </c>
      <c r="D86">
        <v>9</v>
      </c>
      <c r="E86" t="s">
        <v>6</v>
      </c>
      <c r="F86" t="s">
        <v>6</v>
      </c>
      <c r="G86" t="s">
        <v>6</v>
      </c>
      <c r="H86" t="s">
        <v>89</v>
      </c>
      <c r="I86">
        <v>1</v>
      </c>
      <c r="J86" t="s">
        <v>111</v>
      </c>
      <c r="K86" t="s">
        <v>371</v>
      </c>
      <c r="L86" t="s">
        <v>88</v>
      </c>
      <c r="M86" t="s">
        <v>89</v>
      </c>
      <c r="N86">
        <v>0</v>
      </c>
      <c r="O86" t="s">
        <v>372</v>
      </c>
    </row>
  </sheetData>
  <phoneticPr fontId="18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工單總覽</vt:lpstr>
      <vt:lpstr>MS Layout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2026-08-18T02:45:33Z</dcterms:created>
  <dcterms:modified xsi:type="dcterms:W3CDTF">2026-08-18T02:54:34Z</dcterms:modified>
  <cp:category/>
</cp:coreProperties>
</file>